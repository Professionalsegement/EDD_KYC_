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Dashboard" sheetId="1" state="visible" r:id="rId3"/>
    <sheet name="📋 KYC Register" sheetId="2" state="visible" r:id="rId4"/>
    <sheet name="🚨 AML Alerts" sheetId="3" state="visible" r:id="rId5"/>
    <sheet name="🔍 EDD Cases" sheetId="4" state="visible" r:id="rId6"/>
    <sheet name="📝 SAR Log" sheetId="5" state="visible" r:id="rId7"/>
    <sheet name="⚖️ Risk Matrix" sheetId="6" state="visible" r:id="rId8"/>
    <sheet name="💸 Transaction Monitor" sheetId="7" state="visible" r:id="rId9"/>
    <sheet name="📊 Power BI Guid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<sst xmlns="http://schemas.openxmlformats.org/spreadsheetml/2006/main" count="3653" uniqueCount="1244">
  <si>
    <t xml:space="preserve">AML / KYC / EDD  —  COMPLIANCE MONITORING DASHBOARD  (50 Records)</t>
  </si>
  <si>
    <t xml:space="preserve">Report Period: FY 2024  |  50 Customer Records  |  As of 03 Jun 2026  |  Compliance &amp; Risk Management</t>
  </si>
  <si>
    <t xml:space="preserve">TOTAL CUSTOMERS</t>
  </si>
  <si>
    <t xml:space="preserve">HIGH RISK ALERTS</t>
  </si>
  <si>
    <t xml:space="preserve">KYC COMPLETED</t>
  </si>
  <si>
    <t xml:space="preserve">EDD CASES OPEN</t>
  </si>
  <si>
    <t xml:space="preserve">SAR FILINGS</t>
  </si>
  <si>
    <t xml:space="preserve">PEP CUSTOMERS</t>
  </si>
  <si>
    <t xml:space="preserve">50</t>
  </si>
  <si>
    <t xml:space="preserve">2,847</t>
  </si>
  <si>
    <t xml:space="preserve">92.0%</t>
  </si>
  <si>
    <t xml:space="preserve">214</t>
  </si>
  <si>
    <t xml:space="preserve">87</t>
  </si>
  <si>
    <t xml:space="preserve">12</t>
  </si>
  <si>
    <t xml:space="preserve">Base dataset</t>
  </si>
  <si>
    <t xml:space="preserve">▲31 this wk</t>
  </si>
  <si>
    <t xml:space="preserve">Target: 95%</t>
  </si>
  <si>
    <t xml:space="preserve">Avg Age: 14d</t>
  </si>
  <si>
    <t xml:space="preserve">MTD: 14 filed</t>
  </si>
  <si>
    <t xml:space="preserve">24% of HR</t>
  </si>
  <si>
    <t xml:space="preserve">  📊  RISK DISTRIBUTION BY CUSTOMER SEGMENT</t>
  </si>
  <si>
    <t xml:space="preserve">  📅  MONTHLY ALERT TREND (2024)</t>
  </si>
  <si>
    <t xml:space="preserve">Risk Category</t>
  </si>
  <si>
    <t xml:space="preserve">Customers</t>
  </si>
  <si>
    <t xml:space="preserve">% Share</t>
  </si>
  <si>
    <t xml:space="preserve">Alerts</t>
  </si>
  <si>
    <t xml:space="preserve">Avg Score</t>
  </si>
  <si>
    <t xml:space="preserve">Status</t>
  </si>
  <si>
    <t xml:space="preserve">Month</t>
  </si>
  <si>
    <t xml:space="preserve">SARs</t>
  </si>
  <si>
    <t xml:space="preserve">EDD</t>
  </si>
  <si>
    <t xml:space="preserve">Closed</t>
  </si>
  <si>
    <t xml:space="preserve">Open</t>
  </si>
  <si>
    <t xml:space="preserve">Low Risk</t>
  </si>
  <si>
    <t xml:space="preserve">✅ Normal</t>
  </si>
  <si>
    <t xml:space="preserve">Jan</t>
  </si>
  <si>
    <t xml:space="preserve">Medium Risk</t>
  </si>
  <si>
    <t xml:space="preserve">⚠️ Watch</t>
  </si>
  <si>
    <t xml:space="preserve">Feb</t>
  </si>
  <si>
    <t xml:space="preserve">High Risk</t>
  </si>
  <si>
    <t xml:space="preserve">🚨 Alert</t>
  </si>
  <si>
    <t xml:space="preserve">Mar</t>
  </si>
  <si>
    <t xml:space="preserve">PEP</t>
  </si>
  <si>
    <t xml:space="preserve">👁 Monitor</t>
  </si>
  <si>
    <t xml:space="preserve">Apr</t>
  </si>
  <si>
    <t xml:space="preserve">Sanctioned</t>
  </si>
  <si>
    <t xml:space="preserve">🔴 Block</t>
  </si>
  <si>
    <t xml:space="preserve">May</t>
  </si>
  <si>
    <t xml:space="preserve">Under Review</t>
  </si>
  <si>
    <t xml:space="preserve">🔄 Review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</si>
  <si>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</si>
  <si>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</si>
  <si>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</si>
  <si>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</si>
  <si>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</si>
  <si>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</si>
  <si>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</si>
  <si>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KYC CUSTOMER REGISTER  |  50 Customer Records</t>
  </si>
  <si>
    <t xml:space="preserve">Know Your Customer — Identification, Verification &amp; Risk Classification</t>
  </si>
  <si>
    <t xml:space="preserve">Cust ID</t>
  </si>
  <si>
    <t xml:space="preserve">Full Name</t>
  </si>
  <si>
    <t xml:space="preserve">DOB</t>
  </si>
  <si>
    <t xml:space="preserve">Nationality</t>
  </si>
  <si>
    <t xml:space="preserve">Account Type</t>
  </si>
  <si>
    <t xml:space="preserve">Risk Level</t>
  </si>
  <si>
    <t xml:space="preserve">KYC Status</t>
  </si>
  <si>
    <t xml:space="preserve">ID Type</t>
  </si>
  <si>
    <t xml:space="preserve">ID Number</t>
  </si>
  <si>
    <t xml:space="preserve">Expiry Date</t>
  </si>
  <si>
    <t xml:space="preserve">Onboard Date</t>
  </si>
  <si>
    <t xml:space="preserve">Last Review</t>
  </si>
  <si>
    <t xml:space="preserve">Next Review</t>
  </si>
  <si>
    <t xml:space="preserve">PEP Flag</t>
  </si>
  <si>
    <t xml:space="preserve">Sanctions Check</t>
  </si>
  <si>
    <t xml:space="preserve">Remarks</t>
  </si>
  <si>
    <t xml:space="preserve">CUST10001</t>
  </si>
  <si>
    <t xml:space="preserve">Ahmed Al-Rashid</t>
  </si>
  <si>
    <t xml:space="preserve">01/01/1960</t>
  </si>
  <si>
    <t xml:space="preserve">UAE</t>
  </si>
  <si>
    <t xml:space="preserve">Individual</t>
  </si>
  <si>
    <t xml:space="preserve">Low</t>
  </si>
  <si>
    <t xml:space="preserve">Verified</t>
  </si>
  <si>
    <t xml:space="preserve">Passport</t>
  </si>
  <si>
    <t xml:space="preserve">XX200000</t>
  </si>
  <si>
    <t xml:space="preserve">28/01/2025</t>
  </si>
  <si>
    <t xml:space="preserve">01/01/2018</t>
  </si>
  <si>
    <t xml:space="preserve">01/01/2019</t>
  </si>
  <si>
    <t xml:space="preserve">01/01/2020</t>
  </si>
  <si>
    <t xml:space="preserve">No</t>
  </si>
  <si>
    <t xml:space="preserve">Pass</t>
  </si>
  <si>
    <t xml:space="preserve">Active</t>
  </si>
  <si>
    <t xml:space="preserve">CUST10002</t>
  </si>
  <si>
    <t xml:space="preserve">Priya Sharma</t>
  </si>
  <si>
    <t xml:space="preserve">02/02/1961</t>
  </si>
  <si>
    <t xml:space="preserve">India</t>
  </si>
  <si>
    <t xml:space="preserve">Corporate</t>
  </si>
  <si>
    <t xml:space="preserve">Expired</t>
  </si>
  <si>
    <t xml:space="preserve">NID</t>
  </si>
  <si>
    <t xml:space="preserve">XX200007</t>
  </si>
  <si>
    <t xml:space="preserve">28/02/2026</t>
  </si>
  <si>
    <t xml:space="preserve">02/02/2019</t>
  </si>
  <si>
    <t xml:space="preserve">02/02/2020</t>
  </si>
  <si>
    <t xml:space="preserve">01/02/2021</t>
  </si>
  <si>
    <t xml:space="preserve">CUST10003</t>
  </si>
  <si>
    <t xml:space="preserve">John O'Brien</t>
  </si>
  <si>
    <t xml:space="preserve">03/03/1962</t>
  </si>
  <si>
    <t xml:space="preserve">Ireland</t>
  </si>
  <si>
    <t xml:space="preserve">SME</t>
  </si>
  <si>
    <t xml:space="preserve">Medium</t>
  </si>
  <si>
    <t xml:space="preserve">NRIC</t>
  </si>
  <si>
    <t xml:space="preserve">XX200014</t>
  </si>
  <si>
    <t xml:space="preserve">28/03/2027</t>
  </si>
  <si>
    <t xml:space="preserve">03/03/2020</t>
  </si>
  <si>
    <t xml:space="preserve">03/03/2021</t>
  </si>
  <si>
    <t xml:space="preserve">03/03/2022</t>
  </si>
  <si>
    <t xml:space="preserve">CUST10004</t>
  </si>
  <si>
    <t xml:space="preserve">Liu Wei</t>
  </si>
  <si>
    <t xml:space="preserve">04/04/1963</t>
  </si>
  <si>
    <t xml:space="preserve">China</t>
  </si>
  <si>
    <t xml:space="preserve">Joint</t>
  </si>
  <si>
    <t xml:space="preserve">CPF</t>
  </si>
  <si>
    <t xml:space="preserve">XX200021</t>
  </si>
  <si>
    <t xml:space="preserve">28/04/2028</t>
  </si>
  <si>
    <t xml:space="preserve">04/04/2021</t>
  </si>
  <si>
    <t xml:space="preserve">04/04/2022</t>
  </si>
  <si>
    <t xml:space="preserve">04/04/2023</t>
  </si>
  <si>
    <t xml:space="preserve">Docs Pending</t>
  </si>
  <si>
    <t xml:space="preserve">CUST10005</t>
  </si>
  <si>
    <t xml:space="preserve">Fatima Al-Zahra</t>
  </si>
  <si>
    <t xml:space="preserve">05/05/1964</t>
  </si>
  <si>
    <t xml:space="preserve">Saudi Arabia</t>
  </si>
  <si>
    <t xml:space="preserve">Trust</t>
  </si>
  <si>
    <t xml:space="preserve">High</t>
  </si>
  <si>
    <t xml:space="preserve">My Number</t>
  </si>
  <si>
    <t xml:space="preserve">XX200028</t>
  </si>
  <si>
    <t xml:space="preserve">28/05/2025</t>
  </si>
  <si>
    <t xml:space="preserve">05/05/2022</t>
  </si>
  <si>
    <t xml:space="preserve">05/05/2023</t>
  </si>
  <si>
    <t xml:space="preserve">04/05/2024</t>
  </si>
  <si>
    <t xml:space="preserve">Yes</t>
  </si>
  <si>
    <t xml:space="preserve">Restricted</t>
  </si>
  <si>
    <t xml:space="preserve">CUST10006</t>
  </si>
  <si>
    <t xml:space="preserve">Carlos Mendez</t>
  </si>
  <si>
    <t xml:space="preserve">06/06/1965</t>
  </si>
  <si>
    <t xml:space="preserve">Mexico</t>
  </si>
  <si>
    <t xml:space="preserve">CI</t>
  </si>
  <si>
    <t xml:space="preserve">XX200035</t>
  </si>
  <si>
    <t xml:space="preserve">28/06/2026</t>
  </si>
  <si>
    <t xml:space="preserve">06/06/2023</t>
  </si>
  <si>
    <t xml:space="preserve">05/06/2024</t>
  </si>
  <si>
    <t xml:space="preserve">05/06/2025</t>
  </si>
  <si>
    <t xml:space="preserve">Suspended</t>
  </si>
  <si>
    <t xml:space="preserve">CUST10007</t>
  </si>
  <si>
    <t xml:space="preserve">Anna Kowalski</t>
  </si>
  <si>
    <t xml:space="preserve">07/07/1966</t>
  </si>
  <si>
    <t xml:space="preserve">Poland</t>
  </si>
  <si>
    <t xml:space="preserve">Driver's Licence</t>
  </si>
  <si>
    <t xml:space="preserve">XX200042</t>
  </si>
  <si>
    <t xml:space="preserve">28/07/2027</t>
  </si>
  <si>
    <t xml:space="preserve">07/07/2018</t>
  </si>
  <si>
    <t xml:space="preserve">07/07/2019</t>
  </si>
  <si>
    <t xml:space="preserve">06/07/2020</t>
  </si>
  <si>
    <t xml:space="preserve">Monitoring</t>
  </si>
  <si>
    <t xml:space="preserve">CUST10008</t>
  </si>
  <si>
    <t xml:space="preserve">Raj Patel</t>
  </si>
  <si>
    <t xml:space="preserve">08/08/1967</t>
  </si>
  <si>
    <t xml:space="preserve">Aadhaar</t>
  </si>
  <si>
    <t xml:space="preserve">XX200049</t>
  </si>
  <si>
    <t xml:space="preserve">28/08/2028</t>
  </si>
  <si>
    <t xml:space="preserve">08/08/2019</t>
  </si>
  <si>
    <t xml:space="preserve">07/08/2020</t>
  </si>
  <si>
    <t xml:space="preserve">07/08/2021</t>
  </si>
  <si>
    <t xml:space="preserve">CUST10009</t>
  </si>
  <si>
    <t xml:space="preserve">Sophie Dubois</t>
  </si>
  <si>
    <t xml:space="preserve">09/09/1968</t>
  </si>
  <si>
    <t xml:space="preserve">France</t>
  </si>
  <si>
    <t xml:space="preserve">XX200056</t>
  </si>
  <si>
    <t xml:space="preserve">28/09/2025</t>
  </si>
  <si>
    <t xml:space="preserve">09/09/2020</t>
  </si>
  <si>
    <t xml:space="preserve">09/09/2021</t>
  </si>
  <si>
    <t xml:space="preserve">09/09/2022</t>
  </si>
  <si>
    <t xml:space="preserve">CUST10010</t>
  </si>
  <si>
    <t xml:space="preserve">Omar Hassan</t>
  </si>
  <si>
    <t xml:space="preserve">10/10/1969</t>
  </si>
  <si>
    <t xml:space="preserve">Egypt</t>
  </si>
  <si>
    <t xml:space="preserve">XX200063</t>
  </si>
  <si>
    <t xml:space="preserve">28/10/2026</t>
  </si>
  <si>
    <t xml:space="preserve">10/10/2021</t>
  </si>
  <si>
    <t xml:space="preserve">10/10/2022</t>
  </si>
  <si>
    <t xml:space="preserve">10/10/2023</t>
  </si>
  <si>
    <t xml:space="preserve">CUST10011</t>
  </si>
  <si>
    <t xml:space="preserve">Elena Ivanova</t>
  </si>
  <si>
    <t xml:space="preserve">11/11/1970</t>
  </si>
  <si>
    <t xml:space="preserve">Russia</t>
  </si>
  <si>
    <t xml:space="preserve">XX200070</t>
  </si>
  <si>
    <t xml:space="preserve">28/11/2027</t>
  </si>
  <si>
    <t xml:space="preserve">11/11/2022</t>
  </si>
  <si>
    <t xml:space="preserve">11/11/2023</t>
  </si>
  <si>
    <t xml:space="preserve">10/11/2024</t>
  </si>
  <si>
    <t xml:space="preserve">CUST10012</t>
  </si>
  <si>
    <t xml:space="preserve">Michael Chen</t>
  </si>
  <si>
    <t xml:space="preserve">12/12/1971</t>
  </si>
  <si>
    <t xml:space="preserve">Singapore</t>
  </si>
  <si>
    <t xml:space="preserve">XX200077</t>
  </si>
  <si>
    <t xml:space="preserve">28/12/2028</t>
  </si>
  <si>
    <t xml:space="preserve">12/12/2023</t>
  </si>
  <si>
    <t xml:space="preserve">11/12/2024</t>
  </si>
  <si>
    <t xml:space="preserve">11/12/2025</t>
  </si>
  <si>
    <t xml:space="preserve">CUST10013</t>
  </si>
  <si>
    <t xml:space="preserve">Aisha Bakr</t>
  </si>
  <si>
    <t xml:space="preserve">13/01/1972</t>
  </si>
  <si>
    <t xml:space="preserve">Nigeria</t>
  </si>
  <si>
    <t xml:space="preserve">XX200084</t>
  </si>
  <si>
    <t xml:space="preserve">13/01/2018</t>
  </si>
  <si>
    <t xml:space="preserve">13/01/2019</t>
  </si>
  <si>
    <t xml:space="preserve">13/01/2020</t>
  </si>
  <si>
    <t xml:space="preserve">CUST10014</t>
  </si>
  <si>
    <t xml:space="preserve">Pedro Alves</t>
  </si>
  <si>
    <t xml:space="preserve">14/02/1973</t>
  </si>
  <si>
    <t xml:space="preserve">Brazil</t>
  </si>
  <si>
    <t xml:space="preserve">XX200091</t>
  </si>
  <si>
    <t xml:space="preserve">14/02/2019</t>
  </si>
  <si>
    <t xml:space="preserve">14/02/2020</t>
  </si>
  <si>
    <t xml:space="preserve">13/02/2021</t>
  </si>
  <si>
    <t xml:space="preserve">CUST10015</t>
  </si>
  <si>
    <t xml:space="preserve">Nadia Petrova</t>
  </si>
  <si>
    <t xml:space="preserve">15/03/1974</t>
  </si>
  <si>
    <t xml:space="preserve">Ukraine</t>
  </si>
  <si>
    <t xml:space="preserve">XX200098</t>
  </si>
  <si>
    <t xml:space="preserve">15/03/2020</t>
  </si>
  <si>
    <t xml:space="preserve">15/03/2021</t>
  </si>
  <si>
    <t xml:space="preserve">15/03/2022</t>
  </si>
  <si>
    <t xml:space="preserve">CUST10016</t>
  </si>
  <si>
    <t xml:space="preserve">James Okafor</t>
  </si>
  <si>
    <t xml:space="preserve">16/04/1975</t>
  </si>
  <si>
    <t xml:space="preserve">Ghana</t>
  </si>
  <si>
    <t xml:space="preserve">XX200105</t>
  </si>
  <si>
    <t xml:space="preserve">16/04/2021</t>
  </si>
  <si>
    <t xml:space="preserve">16/04/2022</t>
  </si>
  <si>
    <t xml:space="preserve">16/04/2023</t>
  </si>
  <si>
    <t xml:space="preserve">CUST10017</t>
  </si>
  <si>
    <t xml:space="preserve">Mei Lin</t>
  </si>
  <si>
    <t xml:space="preserve">17/05/1976</t>
  </si>
  <si>
    <t xml:space="preserve">Pending</t>
  </si>
  <si>
    <t xml:space="preserve">XX200112</t>
  </si>
  <si>
    <t xml:space="preserve">17/05/2022</t>
  </si>
  <si>
    <t xml:space="preserve">17/05/2023</t>
  </si>
  <si>
    <t xml:space="preserve">16/05/2024</t>
  </si>
  <si>
    <t xml:space="preserve">CUST10018</t>
  </si>
  <si>
    <t xml:space="preserve">Roberto Ferrari</t>
  </si>
  <si>
    <t xml:space="preserve">18/06/1977</t>
  </si>
  <si>
    <t xml:space="preserve">Italy</t>
  </si>
  <si>
    <t xml:space="preserve">XX200119</t>
  </si>
  <si>
    <t xml:space="preserve">18/06/2023</t>
  </si>
  <si>
    <t xml:space="preserve">17/06/2024</t>
  </si>
  <si>
    <t xml:space="preserve">17/06/2025</t>
  </si>
  <si>
    <t xml:space="preserve">CUST10019</t>
  </si>
  <si>
    <t xml:space="preserve">Zara Khan</t>
  </si>
  <si>
    <t xml:space="preserve">19/07/1978</t>
  </si>
  <si>
    <t xml:space="preserve">Pakistan</t>
  </si>
  <si>
    <t xml:space="preserve">XX200126</t>
  </si>
  <si>
    <t xml:space="preserve">19/07/2018</t>
  </si>
  <si>
    <t xml:space="preserve">19/07/2019</t>
  </si>
  <si>
    <t xml:space="preserve">18/07/2020</t>
  </si>
  <si>
    <t xml:space="preserve">CUST10020</t>
  </si>
  <si>
    <t xml:space="preserve">David Nakamura</t>
  </si>
  <si>
    <t xml:space="preserve">20/08/1979</t>
  </si>
  <si>
    <t xml:space="preserve">Japan</t>
  </si>
  <si>
    <t xml:space="preserve">XX200133</t>
  </si>
  <si>
    <t xml:space="preserve">20/08/2019</t>
  </si>
  <si>
    <t xml:space="preserve">19/08/2020</t>
  </si>
  <si>
    <t xml:space="preserve">19/08/2021</t>
  </si>
  <si>
    <t xml:space="preserve">CUST10021</t>
  </si>
  <si>
    <t xml:space="preserve">Hassan Al-Amin</t>
  </si>
  <si>
    <t xml:space="preserve">21/09/1980</t>
  </si>
  <si>
    <t xml:space="preserve">XX200140</t>
  </si>
  <si>
    <t xml:space="preserve">21/09/2020</t>
  </si>
  <si>
    <t xml:space="preserve">21/09/2021</t>
  </si>
  <si>
    <t xml:space="preserve">21/09/2022</t>
  </si>
  <si>
    <t xml:space="preserve">CUST10022</t>
  </si>
  <si>
    <t xml:space="preserve">Sara Lindqvist</t>
  </si>
  <si>
    <t xml:space="preserve">22/10/1981</t>
  </si>
  <si>
    <t xml:space="preserve">Sweden</t>
  </si>
  <si>
    <t xml:space="preserve">XX200147</t>
  </si>
  <si>
    <t xml:space="preserve">22/10/2021</t>
  </si>
  <si>
    <t xml:space="preserve">22/10/2022</t>
  </si>
  <si>
    <t xml:space="preserve">22/10/2023</t>
  </si>
  <si>
    <t xml:space="preserve">CUST10023</t>
  </si>
  <si>
    <t xml:space="preserve">Kwame Asante</t>
  </si>
  <si>
    <t xml:space="preserve">23/11/1982</t>
  </si>
  <si>
    <t xml:space="preserve">XX200154</t>
  </si>
  <si>
    <t xml:space="preserve">23/11/2022</t>
  </si>
  <si>
    <t xml:space="preserve">23/11/2023</t>
  </si>
  <si>
    <t xml:space="preserve">22/11/2024</t>
  </si>
  <si>
    <t xml:space="preserve">CUST10024</t>
  </si>
  <si>
    <t xml:space="preserve">Lena Svensson</t>
  </si>
  <si>
    <t xml:space="preserve">24/12/1983</t>
  </si>
  <si>
    <t xml:space="preserve">XX200161</t>
  </si>
  <si>
    <t xml:space="preserve">24/12/2023</t>
  </si>
  <si>
    <t xml:space="preserve">23/12/2024</t>
  </si>
  <si>
    <t xml:space="preserve">23/12/2025</t>
  </si>
  <si>
    <t xml:space="preserve">CUST10025</t>
  </si>
  <si>
    <t xml:space="preserve">Felix Müller</t>
  </si>
  <si>
    <t xml:space="preserve">25/01/1984</t>
  </si>
  <si>
    <t xml:space="preserve">Germany</t>
  </si>
  <si>
    <t xml:space="preserve">XX200168</t>
  </si>
  <si>
    <t xml:space="preserve">25/01/2018</t>
  </si>
  <si>
    <t xml:space="preserve">25/01/2019</t>
  </si>
  <si>
    <t xml:space="preserve">25/01/2020</t>
  </si>
  <si>
    <t xml:space="preserve">CUST10026</t>
  </si>
  <si>
    <t xml:space="preserve">Amara Diallo</t>
  </si>
  <si>
    <t xml:space="preserve">26/02/1985</t>
  </si>
  <si>
    <t xml:space="preserve">Senegal</t>
  </si>
  <si>
    <t xml:space="preserve">XX200175</t>
  </si>
  <si>
    <t xml:space="preserve">26/02/2019</t>
  </si>
  <si>
    <t xml:space="preserve">26/02/2020</t>
  </si>
  <si>
    <t xml:space="preserve">25/02/2021</t>
  </si>
  <si>
    <t xml:space="preserve">CUST10027</t>
  </si>
  <si>
    <t xml:space="preserve">Ricardo Santos</t>
  </si>
  <si>
    <t xml:space="preserve">27/03/1986</t>
  </si>
  <si>
    <t xml:space="preserve">XX200182</t>
  </si>
  <si>
    <t xml:space="preserve">27/03/2020</t>
  </si>
  <si>
    <t xml:space="preserve">27/03/2021</t>
  </si>
  <si>
    <t xml:space="preserve">27/03/2022</t>
  </si>
  <si>
    <t xml:space="preserve">CUST10028</t>
  </si>
  <si>
    <t xml:space="preserve">Priya Kapoor</t>
  </si>
  <si>
    <t xml:space="preserve">28/04/1987</t>
  </si>
  <si>
    <t xml:space="preserve">XX200189</t>
  </si>
  <si>
    <t xml:space="preserve">28/04/2021</t>
  </si>
  <si>
    <t xml:space="preserve">28/04/2022</t>
  </si>
  <si>
    <t xml:space="preserve">28/04/2023</t>
  </si>
  <si>
    <t xml:space="preserve">CUST10029</t>
  </si>
  <si>
    <t xml:space="preserve">Dmitri Volkov</t>
  </si>
  <si>
    <t xml:space="preserve">01/05/1988</t>
  </si>
  <si>
    <t xml:space="preserve">XX200196</t>
  </si>
  <si>
    <t xml:space="preserve">01/05/2022</t>
  </si>
  <si>
    <t xml:space="preserve">01/05/2023</t>
  </si>
  <si>
    <t xml:space="preserve">30/04/2024</t>
  </si>
  <si>
    <t xml:space="preserve">CUST10030</t>
  </si>
  <si>
    <t xml:space="preserve">Aiko Tanaka</t>
  </si>
  <si>
    <t xml:space="preserve">02/06/1989</t>
  </si>
  <si>
    <t xml:space="preserve">XX200203</t>
  </si>
  <si>
    <t xml:space="preserve">02/06/2023</t>
  </si>
  <si>
    <t xml:space="preserve">01/06/2024</t>
  </si>
  <si>
    <t xml:space="preserve">01/06/2025</t>
  </si>
  <si>
    <t xml:space="preserve">CUST10031</t>
  </si>
  <si>
    <t xml:space="preserve">Ibrahim Al-Farsi</t>
  </si>
  <si>
    <t xml:space="preserve">03/07/1990</t>
  </si>
  <si>
    <t xml:space="preserve">Oman</t>
  </si>
  <si>
    <t xml:space="preserve">XX200210</t>
  </si>
  <si>
    <t xml:space="preserve">03/07/2018</t>
  </si>
  <si>
    <t xml:space="preserve">03/07/2019</t>
  </si>
  <si>
    <t xml:space="preserve">02/07/2020</t>
  </si>
  <si>
    <t xml:space="preserve">CUST10032</t>
  </si>
  <si>
    <t xml:space="preserve">Grace Osei</t>
  </si>
  <si>
    <t xml:space="preserve">04/08/1991</t>
  </si>
  <si>
    <t xml:space="preserve">XX200217</t>
  </si>
  <si>
    <t xml:space="preserve">04/08/2019</t>
  </si>
  <si>
    <t xml:space="preserve">03/08/2020</t>
  </si>
  <si>
    <t xml:space="preserve">03/08/2021</t>
  </si>
  <si>
    <t xml:space="preserve">CUST10033</t>
  </si>
  <si>
    <t xml:space="preserve">Viktor Kozlov</t>
  </si>
  <si>
    <t xml:space="preserve">05/09/1992</t>
  </si>
  <si>
    <t xml:space="preserve">XX200224</t>
  </si>
  <si>
    <t xml:space="preserve">05/09/2020</t>
  </si>
  <si>
    <t xml:space="preserve">05/09/2021</t>
  </si>
  <si>
    <t xml:space="preserve">05/09/2022</t>
  </si>
  <si>
    <t xml:space="preserve">CUST10034</t>
  </si>
  <si>
    <t xml:space="preserve">Chen Holdings Ltd</t>
  </si>
  <si>
    <t xml:space="preserve">06/10/1993</t>
  </si>
  <si>
    <t xml:space="preserve">XX200231</t>
  </si>
  <si>
    <t xml:space="preserve">06/10/2021</t>
  </si>
  <si>
    <t xml:space="preserve">06/10/2022</t>
  </si>
  <si>
    <t xml:space="preserve">06/10/2023</t>
  </si>
  <si>
    <t xml:space="preserve">CUST10035</t>
  </si>
  <si>
    <t xml:space="preserve">Layla Nasser</t>
  </si>
  <si>
    <t xml:space="preserve">07/11/1994</t>
  </si>
  <si>
    <t xml:space="preserve">XX200238</t>
  </si>
  <si>
    <t xml:space="preserve">07/11/2022</t>
  </si>
  <si>
    <t xml:space="preserve">07/11/2023</t>
  </si>
  <si>
    <t xml:space="preserve">06/11/2024</t>
  </si>
  <si>
    <t xml:space="preserve">CUST10036</t>
  </si>
  <si>
    <t xml:space="preserve">Isabella Costa</t>
  </si>
  <si>
    <t xml:space="preserve">08/12/1995</t>
  </si>
  <si>
    <t xml:space="preserve">XX200245</t>
  </si>
  <si>
    <t xml:space="preserve">08/12/2023</t>
  </si>
  <si>
    <t xml:space="preserve">07/12/2024</t>
  </si>
  <si>
    <t xml:space="preserve">07/12/2025</t>
  </si>
  <si>
    <t xml:space="preserve">CUST10037</t>
  </si>
  <si>
    <t xml:space="preserve">Mohammed Al-Sayed</t>
  </si>
  <si>
    <t xml:space="preserve">09/01/1996</t>
  </si>
  <si>
    <t xml:space="preserve">XX200252</t>
  </si>
  <si>
    <t xml:space="preserve">09/01/2018</t>
  </si>
  <si>
    <t xml:space="preserve">09/01/2019</t>
  </si>
  <si>
    <t xml:space="preserve">09/01/2020</t>
  </si>
  <si>
    <t xml:space="preserve">CUST10038</t>
  </si>
  <si>
    <t xml:space="preserve">Elena Marchetti</t>
  </si>
  <si>
    <t xml:space="preserve">10/02/1997</t>
  </si>
  <si>
    <t xml:space="preserve">XX200259</t>
  </si>
  <si>
    <t xml:space="preserve">10/02/2019</t>
  </si>
  <si>
    <t xml:space="preserve">10/02/2020</t>
  </si>
  <si>
    <t xml:space="preserve">09/02/2021</t>
  </si>
  <si>
    <t xml:space="preserve">CUST10039</t>
  </si>
  <si>
    <t xml:space="preserve">James Fernandez</t>
  </si>
  <si>
    <t xml:space="preserve">11/03/1998</t>
  </si>
  <si>
    <t xml:space="preserve">Portugal</t>
  </si>
  <si>
    <t xml:space="preserve">XX200266</t>
  </si>
  <si>
    <t xml:space="preserve">11/03/2020</t>
  </si>
  <si>
    <t xml:space="preserve">11/03/2021</t>
  </si>
  <si>
    <t xml:space="preserve">11/03/2022</t>
  </si>
  <si>
    <t xml:space="preserve">CUST10040</t>
  </si>
  <si>
    <t xml:space="preserve">Yuki Tanaka</t>
  </si>
  <si>
    <t xml:space="preserve">12/04/1999</t>
  </si>
  <si>
    <t xml:space="preserve">XX200273</t>
  </si>
  <si>
    <t xml:space="preserve">12/04/2021</t>
  </si>
  <si>
    <t xml:space="preserve">12/04/2022</t>
  </si>
  <si>
    <t xml:space="preserve">12/04/2023</t>
  </si>
  <si>
    <t xml:space="preserve">CUST10041</t>
  </si>
  <si>
    <t xml:space="preserve">Ravi Krishnamurthy</t>
  </si>
  <si>
    <t xml:space="preserve">13/05/1960</t>
  </si>
  <si>
    <t xml:space="preserve">XX200280</t>
  </si>
  <si>
    <t xml:space="preserve">13/05/2022</t>
  </si>
  <si>
    <t xml:space="preserve">13/05/2023</t>
  </si>
  <si>
    <t xml:space="preserve">12/05/2024</t>
  </si>
  <si>
    <t xml:space="preserve">CUST10042</t>
  </si>
  <si>
    <t xml:space="preserve">Astrid Bergström</t>
  </si>
  <si>
    <t xml:space="preserve">14/06/1961</t>
  </si>
  <si>
    <t xml:space="preserve">XX200287</t>
  </si>
  <si>
    <t xml:space="preserve">14/06/2023</t>
  </si>
  <si>
    <t xml:space="preserve">13/06/2024</t>
  </si>
  <si>
    <t xml:space="preserve">13/06/2025</t>
  </si>
  <si>
    <t xml:space="preserve">CUST10043</t>
  </si>
  <si>
    <t xml:space="preserve">Tariq Al-Hussain</t>
  </si>
  <si>
    <t xml:space="preserve">15/07/1962</t>
  </si>
  <si>
    <t xml:space="preserve">Bahrain</t>
  </si>
  <si>
    <t xml:space="preserve">XX200294</t>
  </si>
  <si>
    <t xml:space="preserve">15/07/2018</t>
  </si>
  <si>
    <t xml:space="preserve">15/07/2019</t>
  </si>
  <si>
    <t xml:space="preserve">14/07/2020</t>
  </si>
  <si>
    <t xml:space="preserve">CUST10044</t>
  </si>
  <si>
    <t xml:space="preserve">Mei-Ling Zhang</t>
  </si>
  <si>
    <t xml:space="preserve">16/08/1963</t>
  </si>
  <si>
    <t xml:space="preserve">XX200301</t>
  </si>
  <si>
    <t xml:space="preserve">16/08/2019</t>
  </si>
  <si>
    <t xml:space="preserve">15/08/2020</t>
  </si>
  <si>
    <t xml:space="preserve">15/08/2021</t>
  </si>
  <si>
    <t xml:space="preserve">CUST10045</t>
  </si>
  <si>
    <t xml:space="preserve">Boris Petrov</t>
  </si>
  <si>
    <t xml:space="preserve">17/09/1964</t>
  </si>
  <si>
    <t xml:space="preserve">XX200308</t>
  </si>
  <si>
    <t xml:space="preserve">17/09/2020</t>
  </si>
  <si>
    <t xml:space="preserve">17/09/2021</t>
  </si>
  <si>
    <t xml:space="preserve">17/09/2022</t>
  </si>
  <si>
    <t xml:space="preserve">CUST10046</t>
  </si>
  <si>
    <t xml:space="preserve">Chioma Eze</t>
  </si>
  <si>
    <t xml:space="preserve">18/10/1965</t>
  </si>
  <si>
    <t xml:space="preserve">XX200315</t>
  </si>
  <si>
    <t xml:space="preserve">18/10/2021</t>
  </si>
  <si>
    <t xml:space="preserve">18/10/2022</t>
  </si>
  <si>
    <t xml:space="preserve">18/10/2023</t>
  </si>
  <si>
    <t xml:space="preserve">CUST10047</t>
  </si>
  <si>
    <t xml:space="preserve">Juan Pablo Reyes</t>
  </si>
  <si>
    <t xml:space="preserve">19/11/1966</t>
  </si>
  <si>
    <t xml:space="preserve">Colombia</t>
  </si>
  <si>
    <t xml:space="preserve">XX200322</t>
  </si>
  <si>
    <t xml:space="preserve">19/11/2022</t>
  </si>
  <si>
    <t xml:space="preserve">19/11/2023</t>
  </si>
  <si>
    <t xml:space="preserve">18/11/2024</t>
  </si>
  <si>
    <t xml:space="preserve">CUST10048</t>
  </si>
  <si>
    <t xml:space="preserve">Natasha Romanova</t>
  </si>
  <si>
    <t xml:space="preserve">20/12/1967</t>
  </si>
  <si>
    <t xml:space="preserve">XX200329</t>
  </si>
  <si>
    <t xml:space="preserve">20/12/2023</t>
  </si>
  <si>
    <t xml:space="preserve">19/12/2024</t>
  </si>
  <si>
    <t xml:space="preserve">19/12/2025</t>
  </si>
  <si>
    <t xml:space="preserve">CUST10049</t>
  </si>
  <si>
    <t xml:space="preserve">Suresh Iyer</t>
  </si>
  <si>
    <t xml:space="preserve">21/01/1968</t>
  </si>
  <si>
    <t xml:space="preserve">XX200336</t>
  </si>
  <si>
    <t xml:space="preserve">21/01/2018</t>
  </si>
  <si>
    <t xml:space="preserve">21/01/2019</t>
  </si>
  <si>
    <t xml:space="preserve">21/01/2020</t>
  </si>
  <si>
    <t xml:space="preserve">CUST10050</t>
  </si>
  <si>
    <t xml:space="preserve">Olga Koroleva</t>
  </si>
  <si>
    <t xml:space="preserve">22/02/1969</t>
  </si>
  <si>
    <t xml:space="preserve">XX200343</t>
  </si>
  <si>
    <t xml:space="preserve">22/02/2019</t>
  </si>
  <si>
    <t xml:space="preserve">22/02/2020</t>
  </si>
  <si>
    <t xml:space="preserve">21/02/2021</t>
  </si>
  <si>
    <t xml:space="preserve">KYC STATUS SUMMARY (50 customers)</t>
  </si>
  <si>
    <t xml:space="preserve">PEP Customers</t>
  </si>
  <si>
    <t xml:space="preserve">Sanctions Fail</t>
  </si>
  <si>
    <t xml:space="preserve">AML ALERT MANAGEMENT  |  50 Alert Records</t>
  </si>
  <si>
    <t xml:space="preserve">Suspicious Transaction Alerts — Detection, Investigation &amp; Disposition</t>
  </si>
  <si>
    <t xml:space="preserve">Alert ID</t>
  </si>
  <si>
    <t xml:space="preserve">Alert Date</t>
  </si>
  <si>
    <t xml:space="preserve">Alert Type</t>
  </si>
  <si>
    <t xml:space="preserve">Transaction Amt</t>
  </si>
  <si>
    <t xml:space="preserve">Currency</t>
  </si>
  <si>
    <t xml:space="preserve">Risk Score</t>
  </si>
  <si>
    <t xml:space="preserve">Priority</t>
  </si>
  <si>
    <t xml:space="preserve">Assigned To</t>
  </si>
  <si>
    <t xml:space="preserve">Days Open</t>
  </si>
  <si>
    <t xml:space="preserve">Investigation Notes</t>
  </si>
  <si>
    <t xml:space="preserve">SAR Filed</t>
  </si>
  <si>
    <t xml:space="preserve">Resolution</t>
  </si>
  <si>
    <t xml:space="preserve">Closed Date</t>
  </si>
  <si>
    <t xml:space="preserve">ALT20001</t>
  </si>
  <si>
    <t xml:space="preserve">01/01/2024</t>
  </si>
  <si>
    <t xml:space="preserve">Structuring</t>
  </si>
  <si>
    <t xml:space="preserve">USD</t>
  </si>
  <si>
    <t xml:space="preserve">A. Kumar</t>
  </si>
  <si>
    <t xml:space="preserve">Reviewing transaction pattern</t>
  </si>
  <si>
    <t xml:space="preserve">ALT20002</t>
  </si>
  <si>
    <t xml:space="preserve">02/02/2024</t>
  </si>
  <si>
    <t xml:space="preserve">Unusual Wire Transfer</t>
  </si>
  <si>
    <t xml:space="preserve">EUR</t>
  </si>
  <si>
    <t xml:space="preserve">S. Patel</t>
  </si>
  <si>
    <t xml:space="preserve">Documentation requested from customer</t>
  </si>
  <si>
    <t xml:space="preserve">In Progress</t>
  </si>
  <si>
    <t xml:space="preserve">ALT20003</t>
  </si>
  <si>
    <t xml:space="preserve">03/03/2024</t>
  </si>
  <si>
    <t xml:space="preserve">Cash Threshold</t>
  </si>
  <si>
    <t xml:space="preserve">GBP</t>
  </si>
  <si>
    <t xml:space="preserve">M. Ali</t>
  </si>
  <si>
    <t xml:space="preserve">Escalated</t>
  </si>
  <si>
    <t xml:space="preserve">Escalated to MLRO for decision</t>
  </si>
  <si>
    <t xml:space="preserve">ALT20004</t>
  </si>
  <si>
    <t xml:space="preserve">04/04/2024</t>
  </si>
  <si>
    <t xml:space="preserve">Rapid Movement</t>
  </si>
  <si>
    <t xml:space="preserve">AED</t>
  </si>
  <si>
    <t xml:space="preserve">R. Chen</t>
  </si>
  <si>
    <t xml:space="preserve">Closed - SAR</t>
  </si>
  <si>
    <t xml:space="preserve">SAR filed to FIU — awaiting feedback</t>
  </si>
  <si>
    <t xml:space="preserve">Case Closed</t>
  </si>
  <si>
    <t xml:space="preserve">25/04/2024</t>
  </si>
  <si>
    <t xml:space="preserve">ALT20005</t>
  </si>
  <si>
    <t xml:space="preserve">05/05/2024</t>
  </si>
  <si>
    <t xml:space="preserve">Dormant Reactivation</t>
  </si>
  <si>
    <t xml:space="preserve">INR</t>
  </si>
  <si>
    <t xml:space="preserve">J. Smith</t>
  </si>
  <si>
    <t xml:space="preserve">Closed - No Action</t>
  </si>
  <si>
    <t xml:space="preserve">Normal business activity confirmed</t>
  </si>
  <si>
    <t xml:space="preserve">No Action Required</t>
  </si>
  <si>
    <t xml:space="preserve">08/06/2024</t>
  </si>
  <si>
    <t xml:space="preserve">ALT20006</t>
  </si>
  <si>
    <t xml:space="preserve">06/06/2024</t>
  </si>
  <si>
    <t xml:space="preserve">High-Risk Jurisdiction</t>
  </si>
  <si>
    <t xml:space="preserve">SGD</t>
  </si>
  <si>
    <t xml:space="preserve">L. Wang</t>
  </si>
  <si>
    <t xml:space="preserve">Pending Info</t>
  </si>
  <si>
    <t xml:space="preserve">Awaiting customer response to query</t>
  </si>
  <si>
    <t xml:space="preserve">Pending Documents</t>
  </si>
  <si>
    <t xml:space="preserve">ALT20007</t>
  </si>
  <si>
    <t xml:space="preserve">07/07/2024</t>
  </si>
  <si>
    <t xml:space="preserve">PEP Transaction</t>
  </si>
  <si>
    <t xml:space="preserve">Critical</t>
  </si>
  <si>
    <t xml:space="preserve">P. Nair</t>
  </si>
  <si>
    <t xml:space="preserve">Critical - Escalated</t>
  </si>
  <si>
    <t xml:space="preserve">PEP ongoing verification</t>
  </si>
  <si>
    <t xml:space="preserve">Referred to Authorities</t>
  </si>
  <si>
    <t xml:space="preserve">ALT20008</t>
  </si>
  <si>
    <t xml:space="preserve">08/08/2024</t>
  </si>
  <si>
    <t xml:space="preserve">Sanctions Match</t>
  </si>
  <si>
    <t xml:space="preserve">F. Ahmed</t>
  </si>
  <si>
    <t xml:space="preserve">Sanctions list cross-checked</t>
  </si>
  <si>
    <t xml:space="preserve">Cleared</t>
  </si>
  <si>
    <t xml:space="preserve">ALT20009</t>
  </si>
  <si>
    <t xml:space="preserve">09/09/2024</t>
  </si>
  <si>
    <t xml:space="preserve">Round-Dollar Amounts</t>
  </si>
  <si>
    <t xml:space="preserve">T. Obi</t>
  </si>
  <si>
    <t xml:space="preserve">Pattern analysis completed</t>
  </si>
  <si>
    <t xml:space="preserve">SAR Submitted</t>
  </si>
  <si>
    <t xml:space="preserve">ALT20010</t>
  </si>
  <si>
    <t xml:space="preserve">10/10/2024</t>
  </si>
  <si>
    <t xml:space="preserve">Velocity Alert</t>
  </si>
  <si>
    <t xml:space="preserve">Head AML</t>
  </si>
  <si>
    <t xml:space="preserve">New alert raised — monitoring</t>
  </si>
  <si>
    <t xml:space="preserve">ALT20011</t>
  </si>
  <si>
    <t xml:space="preserve">11/11/2024</t>
  </si>
  <si>
    <t xml:space="preserve">Layering</t>
  </si>
  <si>
    <t xml:space="preserve">Unusual cross-border movement</t>
  </si>
  <si>
    <t xml:space="preserve">01/12/2024</t>
  </si>
  <si>
    <t xml:space="preserve">ALT20012</t>
  </si>
  <si>
    <t xml:space="preserve">12/12/2024</t>
  </si>
  <si>
    <t xml:space="preserve">Integration</t>
  </si>
  <si>
    <t xml:space="preserve">Cash deposits inconsistent with profile</t>
  </si>
  <si>
    <t xml:space="preserve">26/01/2025</t>
  </si>
  <si>
    <t xml:space="preserve">ALT20013</t>
  </si>
  <si>
    <t xml:space="preserve">13/01/2024</t>
  </si>
  <si>
    <t xml:space="preserve">Smurfing</t>
  </si>
  <si>
    <t xml:space="preserve">Wire transfer to high-risk jurisdiction</t>
  </si>
  <si>
    <t xml:space="preserve">ALT20014</t>
  </si>
  <si>
    <t xml:space="preserve">14/02/2024</t>
  </si>
  <si>
    <t xml:space="preserve">Cyber Fraud</t>
  </si>
  <si>
    <t xml:space="preserve">Round-tripping detected</t>
  </si>
  <si>
    <t xml:space="preserve">ALT20015</t>
  </si>
  <si>
    <t xml:space="preserve">15/03/2024</t>
  </si>
  <si>
    <t xml:space="preserve">Tax Evasion Indicator</t>
  </si>
  <si>
    <t xml:space="preserve">Beneficial owner not confirmed</t>
  </si>
  <si>
    <t xml:space="preserve">ALT20016</t>
  </si>
  <si>
    <t xml:space="preserve">16/04/2024</t>
  </si>
  <si>
    <t xml:space="preserve">ALT20017</t>
  </si>
  <si>
    <t xml:space="preserve">17/05/2024</t>
  </si>
  <si>
    <t xml:space="preserve">ALT20018</t>
  </si>
  <si>
    <t xml:space="preserve">18/06/2024</t>
  </si>
  <si>
    <t xml:space="preserve">21/07/2024</t>
  </si>
  <si>
    <t xml:space="preserve">ALT20019</t>
  </si>
  <si>
    <t xml:space="preserve">19/07/2024</t>
  </si>
  <si>
    <t xml:space="preserve">10/08/2024</t>
  </si>
  <si>
    <t xml:space="preserve">ALT20020</t>
  </si>
  <si>
    <t xml:space="preserve">20/08/2024</t>
  </si>
  <si>
    <t xml:space="preserve">ALT20021</t>
  </si>
  <si>
    <t xml:space="preserve">21/09/2024</t>
  </si>
  <si>
    <t xml:space="preserve">ALT20022</t>
  </si>
  <si>
    <t xml:space="preserve">22/10/2024</t>
  </si>
  <si>
    <t xml:space="preserve">ALT20023</t>
  </si>
  <si>
    <t xml:space="preserve">23/11/2024</t>
  </si>
  <si>
    <t xml:space="preserve">ALT20024</t>
  </si>
  <si>
    <t xml:space="preserve">24/12/2024</t>
  </si>
  <si>
    <t xml:space="preserve">ALT20025</t>
  </si>
  <si>
    <t xml:space="preserve">25/01/2024</t>
  </si>
  <si>
    <t xml:space="preserve">15/02/2024</t>
  </si>
  <si>
    <t xml:space="preserve">ALT20026</t>
  </si>
  <si>
    <t xml:space="preserve">26/02/2024</t>
  </si>
  <si>
    <t xml:space="preserve">23/03/2024</t>
  </si>
  <si>
    <t xml:space="preserve">ALT20027</t>
  </si>
  <si>
    <t xml:space="preserve">27/03/2024</t>
  </si>
  <si>
    <t xml:space="preserve">ALT20028</t>
  </si>
  <si>
    <t xml:space="preserve">28/04/2024</t>
  </si>
  <si>
    <t xml:space="preserve">ALT20029</t>
  </si>
  <si>
    <t xml:space="preserve">01/05/2024</t>
  </si>
  <si>
    <t xml:space="preserve">ALT20030</t>
  </si>
  <si>
    <t xml:space="preserve">02/06/2024</t>
  </si>
  <si>
    <t xml:space="preserve">ALT20031</t>
  </si>
  <si>
    <t xml:space="preserve">03/07/2024</t>
  </si>
  <si>
    <t xml:space="preserve">ALT20032</t>
  </si>
  <si>
    <t xml:space="preserve">04/08/2024</t>
  </si>
  <si>
    <t xml:space="preserve">27/08/2024</t>
  </si>
  <si>
    <t xml:space="preserve">ALT20033</t>
  </si>
  <si>
    <t xml:space="preserve">05/09/2024</t>
  </si>
  <si>
    <t xml:space="preserve">15/10/2024</t>
  </si>
  <si>
    <t xml:space="preserve">ALT20034</t>
  </si>
  <si>
    <t xml:space="preserve">06/10/2024</t>
  </si>
  <si>
    <t xml:space="preserve">ALT20035</t>
  </si>
  <si>
    <t xml:space="preserve">07/11/2024</t>
  </si>
  <si>
    <t xml:space="preserve">ALT20036</t>
  </si>
  <si>
    <t xml:space="preserve">08/12/2024</t>
  </si>
  <si>
    <t xml:space="preserve">ALT20037</t>
  </si>
  <si>
    <t xml:space="preserve">09/01/2024</t>
  </si>
  <si>
    <t xml:space="preserve">ALT20038</t>
  </si>
  <si>
    <t xml:space="preserve">10/02/2024</t>
  </si>
  <si>
    <t xml:space="preserve">ALT20039</t>
  </si>
  <si>
    <t xml:space="preserve">11/03/2024</t>
  </si>
  <si>
    <t xml:space="preserve">03/04/2024</t>
  </si>
  <si>
    <t xml:space="preserve">ALT20040</t>
  </si>
  <si>
    <t xml:space="preserve">12/04/2024</t>
  </si>
  <si>
    <t xml:space="preserve">19/05/2024</t>
  </si>
  <si>
    <t xml:space="preserve">ALT20041</t>
  </si>
  <si>
    <t xml:space="preserve">13/05/2024</t>
  </si>
  <si>
    <t xml:space="preserve">ALT20042</t>
  </si>
  <si>
    <t xml:space="preserve">14/06/2024</t>
  </si>
  <si>
    <t xml:space="preserve">ALT20043</t>
  </si>
  <si>
    <t xml:space="preserve">15/07/2024</t>
  </si>
  <si>
    <t xml:space="preserve">ALT20044</t>
  </si>
  <si>
    <t xml:space="preserve">16/08/2024</t>
  </si>
  <si>
    <t xml:space="preserve">ALT20045</t>
  </si>
  <si>
    <t xml:space="preserve">17/09/2024</t>
  </si>
  <si>
    <t xml:space="preserve">ALT20046</t>
  </si>
  <si>
    <t xml:space="preserve">18/10/2024</t>
  </si>
  <si>
    <t xml:space="preserve">29/11/2024</t>
  </si>
  <si>
    <t xml:space="preserve">ALT20047</t>
  </si>
  <si>
    <t xml:space="preserve">19/11/2024</t>
  </si>
  <si>
    <t xml:space="preserve">25/12/2024</t>
  </si>
  <si>
    <t xml:space="preserve">ALT20048</t>
  </si>
  <si>
    <t xml:space="preserve">20/12/2024</t>
  </si>
  <si>
    <t xml:space="preserve">ALT20049</t>
  </si>
  <si>
    <t xml:space="preserve">21/01/2024</t>
  </si>
  <si>
    <t xml:space="preserve">ALT20050</t>
  </si>
  <si>
    <t xml:space="preserve">22/02/2024</t>
  </si>
  <si>
    <t xml:space="preserve">ENHANCED DUE DILIGENCE (EDD) CASE MANAGEMENT  |  50 Cases</t>
  </si>
  <si>
    <t xml:space="preserve">In-depth Review for High-Risk Customers, PEPs &amp; Complex Structures</t>
  </si>
  <si>
    <t xml:space="preserve">Case ID</t>
  </si>
  <si>
    <t xml:space="preserve">Customer Name</t>
  </si>
  <si>
    <t xml:space="preserve">EDD Reason</t>
  </si>
  <si>
    <t xml:space="preserve">Open Date</t>
  </si>
  <si>
    <t xml:space="preserve">Due Date</t>
  </si>
  <si>
    <t xml:space="preserve">Investigator</t>
  </si>
  <si>
    <t xml:space="preserve">Stage</t>
  </si>
  <si>
    <t xml:space="preserve">UBO Verified</t>
  </si>
  <si>
    <t xml:space="preserve">Source of Funds</t>
  </si>
  <si>
    <t xml:space="preserve">Net Worth ($K)</t>
  </si>
  <si>
    <t xml:space="preserve">Risk Rating</t>
  </si>
  <si>
    <t xml:space="preserve">Docs Collected</t>
  </si>
  <si>
    <t xml:space="preserve">Actions Required</t>
  </si>
  <si>
    <t xml:space="preserve">EDD30001</t>
  </si>
  <si>
    <t xml:space="preserve">PEP Customer</t>
  </si>
  <si>
    <t xml:space="preserve">31/01/2024</t>
  </si>
  <si>
    <t xml:space="preserve">Initial Review</t>
  </si>
  <si>
    <t xml:space="preserve">Business Revenue</t>
  </si>
  <si>
    <t xml:space="preserve">7/10</t>
  </si>
  <si>
    <t xml:space="preserve">Verify UBO chain</t>
  </si>
  <si>
    <t xml:space="preserve">EDD30002</t>
  </si>
  <si>
    <t xml:space="preserve">High Net Worth</t>
  </si>
  <si>
    <t xml:space="preserve">Document Collection</t>
  </si>
  <si>
    <t xml:space="preserve">Inheritance</t>
  </si>
  <si>
    <t xml:space="preserve">Very High</t>
  </si>
  <si>
    <t xml:space="preserve">5/10</t>
  </si>
  <si>
    <t xml:space="preserve">Request 3yr bank statements</t>
  </si>
  <si>
    <t xml:space="preserve">EDD30003</t>
  </si>
  <si>
    <t xml:space="preserve">Cross-Border Transactions</t>
  </si>
  <si>
    <t xml:space="preserve">02/04/2024</t>
  </si>
  <si>
    <t xml:space="preserve">UBO Analysis</t>
  </si>
  <si>
    <t xml:space="preserve">Partial</t>
  </si>
  <si>
    <t xml:space="preserve">Investment</t>
  </si>
  <si>
    <t xml:space="preserve">Obtain tax records</t>
  </si>
  <si>
    <t xml:space="preserve">Overdue</t>
  </si>
  <si>
    <t xml:space="preserve">EDD30004</t>
  </si>
  <si>
    <t xml:space="preserve">Complex Ownership</t>
  </si>
  <si>
    <t xml:space="preserve">Source of Funds Verification</t>
  </si>
  <si>
    <t xml:space="preserve">Employment</t>
  </si>
  <si>
    <t xml:space="preserve">Medium-High</t>
  </si>
  <si>
    <t xml:space="preserve">8/10</t>
  </si>
  <si>
    <t xml:space="preserve">Confirm business license</t>
  </si>
  <si>
    <t xml:space="preserve">Completed</t>
  </si>
  <si>
    <t xml:space="preserve">EDD30005</t>
  </si>
  <si>
    <t xml:space="preserve">Sanctions Adjacent</t>
  </si>
  <si>
    <t xml:space="preserve">04/06/2024</t>
  </si>
  <si>
    <t xml:space="preserve">Risk Assessment</t>
  </si>
  <si>
    <t xml:space="preserve">Property Sale</t>
  </si>
  <si>
    <t xml:space="preserve">6/10</t>
  </si>
  <si>
    <t xml:space="preserve">Review corporate structure</t>
  </si>
  <si>
    <t xml:space="preserve">EDD30006</t>
  </si>
  <si>
    <t xml:space="preserve">Unusual Business Model</t>
  </si>
  <si>
    <t xml:space="preserve">06/07/2024</t>
  </si>
  <si>
    <t xml:space="preserve">Senior Approval</t>
  </si>
  <si>
    <t xml:space="preserve">Pension</t>
  </si>
  <si>
    <t xml:space="preserve">Check adverse media</t>
  </si>
  <si>
    <t xml:space="preserve">Pending Docs</t>
  </si>
  <si>
    <t xml:space="preserve">EDD30007</t>
  </si>
  <si>
    <t xml:space="preserve">High-Risk Country</t>
  </si>
  <si>
    <t xml:space="preserve">06/08/2024</t>
  </si>
  <si>
    <t xml:space="preserve">Trade Income</t>
  </si>
  <si>
    <t xml:space="preserve">2/10</t>
  </si>
  <si>
    <t xml:space="preserve">Obtain wealth declaration</t>
  </si>
  <si>
    <t xml:space="preserve">EDD30008</t>
  </si>
  <si>
    <t xml:space="preserve">Cash Intensive</t>
  </si>
  <si>
    <t xml:space="preserve">07/09/2024</t>
  </si>
  <si>
    <t xml:space="preserve">Ongoing Monitoring</t>
  </si>
  <si>
    <t xml:space="preserve">Unknown</t>
  </si>
  <si>
    <t xml:space="preserve">3/10</t>
  </si>
  <si>
    <t xml:space="preserve">Verify source of funds</t>
  </si>
  <si>
    <t xml:space="preserve">EDD30009</t>
  </si>
  <si>
    <t xml:space="preserve">Prior SAR</t>
  </si>
  <si>
    <t xml:space="preserve">09/10/2024</t>
  </si>
  <si>
    <t xml:space="preserve">Remittance</t>
  </si>
  <si>
    <t xml:space="preserve">None — case complete</t>
  </si>
  <si>
    <t xml:space="preserve">EDD30010</t>
  </si>
  <si>
    <t xml:space="preserve">Adverse Media</t>
  </si>
  <si>
    <t xml:space="preserve">09/11/2024</t>
  </si>
  <si>
    <t xml:space="preserve">Loan Proceeds</t>
  </si>
  <si>
    <t xml:space="preserve">Escalate to MLRO</t>
  </si>
  <si>
    <t xml:space="preserve">EDD30011</t>
  </si>
  <si>
    <t xml:space="preserve">Obtain board resolution</t>
  </si>
  <si>
    <t xml:space="preserve">EDD30012</t>
  </si>
  <si>
    <t xml:space="preserve">12/01/2024</t>
  </si>
  <si>
    <t xml:space="preserve">11/02/2024</t>
  </si>
  <si>
    <t xml:space="preserve">Verify property ownership</t>
  </si>
  <si>
    <t xml:space="preserve">EDD30013</t>
  </si>
  <si>
    <t xml:space="preserve">13/02/2024</t>
  </si>
  <si>
    <t xml:space="preserve">14/03/2024</t>
  </si>
  <si>
    <t xml:space="preserve">Confirm employment letter</t>
  </si>
  <si>
    <t xml:space="preserve">EDD30014</t>
  </si>
  <si>
    <t xml:space="preserve">13/04/2024</t>
  </si>
  <si>
    <t xml:space="preserve">9/10</t>
  </si>
  <si>
    <t xml:space="preserve">Request audited accounts</t>
  </si>
  <si>
    <t xml:space="preserve">EDD30015</t>
  </si>
  <si>
    <t xml:space="preserve">15/04/2024</t>
  </si>
  <si>
    <t xml:space="preserve">15/05/2024</t>
  </si>
  <si>
    <t xml:space="preserve">None pending</t>
  </si>
  <si>
    <t xml:space="preserve">EDD30016</t>
  </si>
  <si>
    <t xml:space="preserve">15/06/2024</t>
  </si>
  <si>
    <t xml:space="preserve">EDD30017</t>
  </si>
  <si>
    <t xml:space="preserve">17/07/2024</t>
  </si>
  <si>
    <t xml:space="preserve">EDD30018</t>
  </si>
  <si>
    <t xml:space="preserve">18/07/2024</t>
  </si>
  <si>
    <t xml:space="preserve">17/08/2024</t>
  </si>
  <si>
    <t xml:space="preserve">4/10</t>
  </si>
  <si>
    <t xml:space="preserve">EDD30019</t>
  </si>
  <si>
    <t xml:space="preserve">19/08/2024</t>
  </si>
  <si>
    <t xml:space="preserve">18/09/2024</t>
  </si>
  <si>
    <t xml:space="preserve">EDD30020</t>
  </si>
  <si>
    <t xml:space="preserve">20/09/2024</t>
  </si>
  <si>
    <t xml:space="preserve">20/10/2024</t>
  </si>
  <si>
    <t xml:space="preserve">EDD30021</t>
  </si>
  <si>
    <t xml:space="preserve">21/10/2024</t>
  </si>
  <si>
    <t xml:space="preserve">20/11/2024</t>
  </si>
  <si>
    <t xml:space="preserve">EDD30022</t>
  </si>
  <si>
    <t xml:space="preserve">22/12/2024</t>
  </si>
  <si>
    <t xml:space="preserve">EDD30023</t>
  </si>
  <si>
    <t xml:space="preserve">23/01/2024</t>
  </si>
  <si>
    <t xml:space="preserve">EDD30024</t>
  </si>
  <si>
    <t xml:space="preserve">24/02/2024</t>
  </si>
  <si>
    <t xml:space="preserve">25/03/2024</t>
  </si>
  <si>
    <t xml:space="preserve">EDD30025</t>
  </si>
  <si>
    <t xml:space="preserve">24/04/2024</t>
  </si>
  <si>
    <t xml:space="preserve">EDD30026</t>
  </si>
  <si>
    <t xml:space="preserve">01/04/2024</t>
  </si>
  <si>
    <t xml:space="preserve">EDD30027</t>
  </si>
  <si>
    <t xml:space="preserve">02/05/2024</t>
  </si>
  <si>
    <t xml:space="preserve">EDD30028</t>
  </si>
  <si>
    <t xml:space="preserve">03/06/2024</t>
  </si>
  <si>
    <t xml:space="preserve">EDD30029</t>
  </si>
  <si>
    <t xml:space="preserve">04/07/2024</t>
  </si>
  <si>
    <t xml:space="preserve">03/08/2024</t>
  </si>
  <si>
    <t xml:space="preserve">EDD30030</t>
  </si>
  <si>
    <t xml:space="preserve">05/08/2024</t>
  </si>
  <si>
    <t xml:space="preserve">04/09/2024</t>
  </si>
  <si>
    <t xml:space="preserve">EDD30031</t>
  </si>
  <si>
    <t xml:space="preserve">06/09/2024</t>
  </si>
  <si>
    <t xml:space="preserve">EDD30032</t>
  </si>
  <si>
    <t xml:space="preserve">07/10/2024</t>
  </si>
  <si>
    <t xml:space="preserve">EDD30033</t>
  </si>
  <si>
    <t xml:space="preserve">08/11/2024</t>
  </si>
  <si>
    <t xml:space="preserve">EDD30034</t>
  </si>
  <si>
    <t xml:space="preserve">08/02/2024</t>
  </si>
  <si>
    <t xml:space="preserve">EDD30035</t>
  </si>
  <si>
    <t xml:space="preserve">EDD30036</t>
  </si>
  <si>
    <t xml:space="preserve">10/04/2024</t>
  </si>
  <si>
    <t xml:space="preserve">EDD30037</t>
  </si>
  <si>
    <t xml:space="preserve">EDD30038</t>
  </si>
  <si>
    <t xml:space="preserve">12/06/2024</t>
  </si>
  <si>
    <t xml:space="preserve">EDD30039</t>
  </si>
  <si>
    <t xml:space="preserve">14/07/2024</t>
  </si>
  <si>
    <t xml:space="preserve">EDD30040</t>
  </si>
  <si>
    <t xml:space="preserve">14/08/2024</t>
  </si>
  <si>
    <t xml:space="preserve">EDD30041</t>
  </si>
  <si>
    <t xml:space="preserve">15/09/2024</t>
  </si>
  <si>
    <t xml:space="preserve">EDD30042</t>
  </si>
  <si>
    <t xml:space="preserve">17/10/2024</t>
  </si>
  <si>
    <t xml:space="preserve">EDD30043</t>
  </si>
  <si>
    <t xml:space="preserve">17/11/2024</t>
  </si>
  <si>
    <t xml:space="preserve">EDD30044</t>
  </si>
  <si>
    <t xml:space="preserve">EDD30045</t>
  </si>
  <si>
    <t xml:space="preserve">20/01/2024</t>
  </si>
  <si>
    <t xml:space="preserve">19/02/2024</t>
  </si>
  <si>
    <t xml:space="preserve">EDD30046</t>
  </si>
  <si>
    <t xml:space="preserve">21/02/2024</t>
  </si>
  <si>
    <t xml:space="preserve">22/03/2024</t>
  </si>
  <si>
    <t xml:space="preserve">EDD30047</t>
  </si>
  <si>
    <t xml:space="preserve">21/04/2024</t>
  </si>
  <si>
    <t xml:space="preserve">EDD30048</t>
  </si>
  <si>
    <t xml:space="preserve">23/04/2024</t>
  </si>
  <si>
    <t xml:space="preserve">23/05/2024</t>
  </si>
  <si>
    <t xml:space="preserve">EDD30049</t>
  </si>
  <si>
    <t xml:space="preserve">24/05/2024</t>
  </si>
  <si>
    <t xml:space="preserve">23/06/2024</t>
  </si>
  <si>
    <t xml:space="preserve">EDD30050</t>
  </si>
  <si>
    <t xml:space="preserve">25/06/2024</t>
  </si>
  <si>
    <t xml:space="preserve">25/07/2024</t>
  </si>
  <si>
    <t xml:space="preserve">SUSPICIOUS ACTIVITY REPORT (SAR) LOG  |  50 SAR Records</t>
  </si>
  <si>
    <t xml:space="preserve">Official Record of All SARs Filed to Financial Intelligence Unit (FIU)</t>
  </si>
  <si>
    <t xml:space="preserve">SAR Ref</t>
  </si>
  <si>
    <t xml:space="preserve">Filing Date</t>
  </si>
  <si>
    <t xml:space="preserve">Suspicious Activity</t>
  </si>
  <si>
    <t xml:space="preserve">Amount</t>
  </si>
  <si>
    <t xml:space="preserve">Filed By</t>
  </si>
  <si>
    <t xml:space="preserve">MLRO Approved</t>
  </si>
  <si>
    <t xml:space="preserve">FIU Reference</t>
  </si>
  <si>
    <t xml:space="preserve">Feedback Received</t>
  </si>
  <si>
    <t xml:space="preserve">Case Outcome</t>
  </si>
  <si>
    <t xml:space="preserve">SAR Type</t>
  </si>
  <si>
    <t xml:space="preserve">SAR/2024/1001</t>
  </si>
  <si>
    <t xml:space="preserve">Structuring - Multiple txns below threshold</t>
  </si>
  <si>
    <t xml:space="preserve">FIU/2024/5001</t>
  </si>
  <si>
    <t xml:space="preserve">Under Investigation</t>
  </si>
  <si>
    <t xml:space="preserve">STR</t>
  </si>
  <si>
    <t xml:space="preserve">Normal follow-up</t>
  </si>
  <si>
    <t xml:space="preserve">SAR/2024/1002</t>
  </si>
  <si>
    <t xml:space="preserve">Suspected proceeds of drug trafficking</t>
  </si>
  <si>
    <t xml:space="preserve">FIU/2024/5002</t>
  </si>
  <si>
    <t xml:space="preserve">Received</t>
  </si>
  <si>
    <t xml:space="preserve">CTR</t>
  </si>
  <si>
    <t xml:space="preserve">Assets frozen</t>
  </si>
  <si>
    <t xml:space="preserve">SAR/2024/1003</t>
  </si>
  <si>
    <t xml:space="preserve">Layering - Complex inter-bank transfers</t>
  </si>
  <si>
    <t xml:space="preserve">FIU/2024/5003</t>
  </si>
  <si>
    <t xml:space="preserve">No Feedback</t>
  </si>
  <si>
    <t xml:space="preserve">Prosecution Initiated</t>
  </si>
  <si>
    <t xml:space="preserve">SAR</t>
  </si>
  <si>
    <t xml:space="preserve">Referred to Police</t>
  </si>
  <si>
    <t xml:space="preserve">SAR/2024/1004</t>
  </si>
  <si>
    <t xml:space="preserve">PEP misuse of business account</t>
  </si>
  <si>
    <t xml:space="preserve">FIU/2024/5004</t>
  </si>
  <si>
    <t xml:space="preserve">No Further Action</t>
  </si>
  <si>
    <t xml:space="preserve">Voluntary Disclosure</t>
  </si>
  <si>
    <t xml:space="preserve">FIU acknowledged</t>
  </si>
  <si>
    <t xml:space="preserve">SAR/2024/1005</t>
  </si>
  <si>
    <t xml:space="preserve">Unusual cash deposits - no business rationale</t>
  </si>
  <si>
    <t xml:space="preserve">FIU/2024/5005</t>
  </si>
  <si>
    <t xml:space="preserve">Intelligence Only</t>
  </si>
  <si>
    <t xml:space="preserve">Tipping-off Report</t>
  </si>
  <si>
    <t xml:space="preserve">STR also filed</t>
  </si>
  <si>
    <t xml:space="preserve">SAR/2024/1006</t>
  </si>
  <si>
    <t xml:space="preserve">Integration - Real estate purchase unusual source</t>
  </si>
  <si>
    <t xml:space="preserve">FIU/2024/5006</t>
  </si>
  <si>
    <t xml:space="preserve">Assets Frozen</t>
  </si>
  <si>
    <t xml:space="preserve">Monitoring ongoing</t>
  </si>
  <si>
    <t xml:space="preserve">SAR/2024/1007</t>
  </si>
  <si>
    <t xml:space="preserve">Smurfing - Multiple parties same destination</t>
  </si>
  <si>
    <t xml:space="preserve">FIU/2024/5007</t>
  </si>
  <si>
    <t xml:space="preserve">Court proceedings</t>
  </si>
  <si>
    <t xml:space="preserve">SAR/2024/1008</t>
  </si>
  <si>
    <t xml:space="preserve">Terrorist financing suspicion</t>
  </si>
  <si>
    <t xml:space="preserve">FIU/2024/5008</t>
  </si>
  <si>
    <t xml:space="preserve">Archived</t>
  </si>
  <si>
    <t xml:space="preserve">SAR/2024/1009</t>
  </si>
  <si>
    <t xml:space="preserve">Cyber fraud proceeds</t>
  </si>
  <si>
    <t xml:space="preserve">FIU/2024/5009</t>
  </si>
  <si>
    <t xml:space="preserve">Pending Review</t>
  </si>
  <si>
    <t xml:space="preserve">Under review</t>
  </si>
  <si>
    <t xml:space="preserve">SAR/2024/1010</t>
  </si>
  <si>
    <t xml:space="preserve">Tax evasion indicators</t>
  </si>
  <si>
    <t xml:space="preserve">FIU/2024/5010</t>
  </si>
  <si>
    <t xml:space="preserve">Court Proceedings</t>
  </si>
  <si>
    <t xml:space="preserve">Active investigation</t>
  </si>
  <si>
    <t xml:space="preserve">SAR/2024/1011</t>
  </si>
  <si>
    <t xml:space="preserve">Rapid in/out wire movements</t>
  </si>
  <si>
    <t xml:space="preserve">FIU/2024/5011</t>
  </si>
  <si>
    <t xml:space="preserve">Acquitted</t>
  </si>
  <si>
    <t xml:space="preserve">Charged</t>
  </si>
  <si>
    <t xml:space="preserve">SAR/2024/1012</t>
  </si>
  <si>
    <t xml:space="preserve">Shell company transactions</t>
  </si>
  <si>
    <t xml:space="preserve">FIU/2024/5012</t>
  </si>
  <si>
    <t xml:space="preserve">Convicted</t>
  </si>
  <si>
    <t xml:space="preserve">Case dismissed</t>
  </si>
  <si>
    <t xml:space="preserve">SAR/2024/1013</t>
  </si>
  <si>
    <t xml:space="preserve">Trade-based money laundering</t>
  </si>
  <si>
    <t xml:space="preserve">FIU/2024/5013</t>
  </si>
  <si>
    <t xml:space="preserve">STR Filed</t>
  </si>
  <si>
    <t xml:space="preserve">Info shared</t>
  </si>
  <si>
    <t xml:space="preserve">SAR/2024/1014</t>
  </si>
  <si>
    <t xml:space="preserve">Cryptocurrency conversion</t>
  </si>
  <si>
    <t xml:space="preserve">FIU/2024/5014</t>
  </si>
  <si>
    <t xml:space="preserve">Awaiting feedback</t>
  </si>
  <si>
    <t xml:space="preserve">SAR/2024/1015</t>
  </si>
  <si>
    <t xml:space="preserve">Undisclosed beneficial owner</t>
  </si>
  <si>
    <t xml:space="preserve">FIU/2024/5015</t>
  </si>
  <si>
    <t xml:space="preserve">Ongoing</t>
  </si>
  <si>
    <t xml:space="preserve">SAR/2024/1016</t>
  </si>
  <si>
    <t xml:space="preserve">FIU/2024/5016</t>
  </si>
  <si>
    <t xml:space="preserve">SAR/2024/1017</t>
  </si>
  <si>
    <t xml:space="preserve">FIU/2024/5017</t>
  </si>
  <si>
    <t xml:space="preserve">SAR/2024/1018</t>
  </si>
  <si>
    <t xml:space="preserve">FIU/2024/5018</t>
  </si>
  <si>
    <t xml:space="preserve">SAR/2024/1019</t>
  </si>
  <si>
    <t xml:space="preserve">FIU/2024/5019</t>
  </si>
  <si>
    <t xml:space="preserve">SAR/2024/1020</t>
  </si>
  <si>
    <t xml:space="preserve">FIU/2024/5020</t>
  </si>
  <si>
    <t xml:space="preserve">SAR/2024/1021</t>
  </si>
  <si>
    <t xml:space="preserve">FIU/2024/5021</t>
  </si>
  <si>
    <t xml:space="preserve">SAR/2024/1022</t>
  </si>
  <si>
    <t xml:space="preserve">FIU/2024/5022</t>
  </si>
  <si>
    <t xml:space="preserve">SAR/2024/1023</t>
  </si>
  <si>
    <t xml:space="preserve">FIU/2024/5023</t>
  </si>
  <si>
    <t xml:space="preserve">SAR/2024/1024</t>
  </si>
  <si>
    <t xml:space="preserve">FIU/2024/5024</t>
  </si>
  <si>
    <t xml:space="preserve">SAR/2024/1025</t>
  </si>
  <si>
    <t xml:space="preserve">FIU/2024/5025</t>
  </si>
  <si>
    <t xml:space="preserve">SAR/2024/1026</t>
  </si>
  <si>
    <t xml:space="preserve">FIU/2024/5026</t>
  </si>
  <si>
    <t xml:space="preserve">SAR/2024/1027</t>
  </si>
  <si>
    <t xml:space="preserve">FIU/2024/5027</t>
  </si>
  <si>
    <t xml:space="preserve">SAR/2024/1028</t>
  </si>
  <si>
    <t xml:space="preserve">FIU/2024/5028</t>
  </si>
  <si>
    <t xml:space="preserve">SAR/2024/1029</t>
  </si>
  <si>
    <t xml:space="preserve">FIU/2024/5029</t>
  </si>
  <si>
    <t xml:space="preserve">SAR/2024/1030</t>
  </si>
  <si>
    <t xml:space="preserve">FIU/2024/5030</t>
  </si>
  <si>
    <t xml:space="preserve">SAR/2024/1031</t>
  </si>
  <si>
    <t xml:space="preserve">FIU/2024/5031</t>
  </si>
  <si>
    <t xml:space="preserve">SAR/2024/1032</t>
  </si>
  <si>
    <t xml:space="preserve">FIU/2024/5032</t>
  </si>
  <si>
    <t xml:space="preserve">SAR/2024/1033</t>
  </si>
  <si>
    <t xml:space="preserve">FIU/2024/5033</t>
  </si>
  <si>
    <t xml:space="preserve">SAR/2024/1034</t>
  </si>
  <si>
    <t xml:space="preserve">FIU/2024/5034</t>
  </si>
  <si>
    <t xml:space="preserve">SAR/2024/1035</t>
  </si>
  <si>
    <t xml:space="preserve">FIU/2024/5035</t>
  </si>
  <si>
    <t xml:space="preserve">SAR/2024/1036</t>
  </si>
  <si>
    <t xml:space="preserve">FIU/2024/5036</t>
  </si>
  <si>
    <t xml:space="preserve">SAR/2024/1037</t>
  </si>
  <si>
    <t xml:space="preserve">FIU/2024/5037</t>
  </si>
  <si>
    <t xml:space="preserve">SAR/2024/1038</t>
  </si>
  <si>
    <t xml:space="preserve">FIU/2024/5038</t>
  </si>
  <si>
    <t xml:space="preserve">SAR/2024/1039</t>
  </si>
  <si>
    <t xml:space="preserve">FIU/2024/5039</t>
  </si>
  <si>
    <t xml:space="preserve">SAR/2024/1040</t>
  </si>
  <si>
    <t xml:space="preserve">FIU/2024/5040</t>
  </si>
  <si>
    <t xml:space="preserve">SAR/2024/1041</t>
  </si>
  <si>
    <t xml:space="preserve">FIU/2024/5041</t>
  </si>
  <si>
    <t xml:space="preserve">SAR/2024/1042</t>
  </si>
  <si>
    <t xml:space="preserve">FIU/2024/5042</t>
  </si>
  <si>
    <t xml:space="preserve">SAR/2024/1043</t>
  </si>
  <si>
    <t xml:space="preserve">FIU/2024/5043</t>
  </si>
  <si>
    <t xml:space="preserve">SAR/2024/1044</t>
  </si>
  <si>
    <t xml:space="preserve">FIU/2024/5044</t>
  </si>
  <si>
    <t xml:space="preserve">SAR/2024/1045</t>
  </si>
  <si>
    <t xml:space="preserve">FIU/2024/5045</t>
  </si>
  <si>
    <t xml:space="preserve">SAR/2024/1046</t>
  </si>
  <si>
    <t xml:space="preserve">FIU/2024/5046</t>
  </si>
  <si>
    <t xml:space="preserve">SAR/2024/1047</t>
  </si>
  <si>
    <t xml:space="preserve">FIU/2024/5047</t>
  </si>
  <si>
    <t xml:space="preserve">SAR/2024/1048</t>
  </si>
  <si>
    <t xml:space="preserve">FIU/2024/5048</t>
  </si>
  <si>
    <t xml:space="preserve">SAR/2024/1049</t>
  </si>
  <si>
    <t xml:space="preserve">FIU/2024/5049</t>
  </si>
  <si>
    <t xml:space="preserve">SAR/2024/1050</t>
  </si>
  <si>
    <t xml:space="preserve">FIU/2024/5050</t>
  </si>
  <si>
    <t xml:space="preserve">AML / KYC RISK ASSESSMENT MATRIX  |  Comprehensive Scoring</t>
  </si>
  <si>
    <t xml:space="preserve">Inherent Risk × Control Effectiveness = Residual Risk  |  Risk Appetite: Medium-Low</t>
  </si>
  <si>
    <t xml:space="preserve">Risk Factor</t>
  </si>
  <si>
    <t xml:space="preserve">Category</t>
  </si>
  <si>
    <t xml:space="preserve">Inherent Risk (1-10)</t>
  </si>
  <si>
    <t xml:space="preserve">Control Rating (1-10)</t>
  </si>
  <si>
    <t xml:space="preserve">Residual Risk</t>
  </si>
  <si>
    <t xml:space="preserve">Weight (%)</t>
  </si>
  <si>
    <t xml:space="preserve">Weighted Score</t>
  </si>
  <si>
    <t xml:space="preserve">Mitigation Action</t>
  </si>
  <si>
    <t xml:space="preserve">Customer Identity Verification</t>
  </si>
  <si>
    <t xml:space="preserve">KYC</t>
  </si>
  <si>
    <t xml:space="preserve">Core KYC control — mandatory</t>
  </si>
  <si>
    <t xml:space="preserve">PEP Screening</t>
  </si>
  <si>
    <t xml:space="preserve">KYC/AML</t>
  </si>
  <si>
    <t xml:space="preserve">Enhanced monitoring + MLRO approval</t>
  </si>
  <si>
    <t xml:space="preserve">Sanctions Screening</t>
  </si>
  <si>
    <t xml:space="preserve">AML</t>
  </si>
  <si>
    <t xml:space="preserve">Real-time screening required</t>
  </si>
  <si>
    <t xml:space="preserve">Transaction Monitoring</t>
  </si>
  <si>
    <t xml:space="preserve">Rule-based + AI anomaly detection</t>
  </si>
  <si>
    <t xml:space="preserve">Documentary evidence mandatory</t>
  </si>
  <si>
    <t xml:space="preserve">UBO Identification</t>
  </si>
  <si>
    <t xml:space="preserve">EDD/KYC</t>
  </si>
  <si>
    <t xml:space="preserve">For complex/corporate structures</t>
  </si>
  <si>
    <t xml:space="preserve">Geographic Risk Assessment</t>
  </si>
  <si>
    <t xml:space="preserve">Country risk model — quarterly update</t>
  </si>
  <si>
    <t xml:space="preserve">Cash Threshold Monitoring</t>
  </si>
  <si>
    <t xml:space="preserve">CTR auto-filing above $10,000</t>
  </si>
  <si>
    <t xml:space="preserve">Adverse Media Screening</t>
  </si>
  <si>
    <t xml:space="preserve">Automated daily + manual quarterly</t>
  </si>
  <si>
    <t xml:space="preserve">SAR Filing Timeliness</t>
  </si>
  <si>
    <t xml:space="preserve">30-day SLA from detection to filing</t>
  </si>
  <si>
    <t xml:space="preserve">Wire Transfer Monitoring</t>
  </si>
  <si>
    <t xml:space="preserve">SWIFT monitoring — FATF compliance</t>
  </si>
  <si>
    <t xml:space="preserve">EDD Review Frequency</t>
  </si>
  <si>
    <t xml:space="preserve">Annual for High Risk, biennial for Med</t>
  </si>
  <si>
    <t xml:space="preserve">Training &amp; Awareness</t>
  </si>
  <si>
    <t xml:space="preserve">Governance</t>
  </si>
  <si>
    <t xml:space="preserve">Mandatory annual AML training</t>
  </si>
  <si>
    <t xml:space="preserve">Record Keeping</t>
  </si>
  <si>
    <t xml:space="preserve">Compliance</t>
  </si>
  <si>
    <t xml:space="preserve">5-year document retention policy</t>
  </si>
  <si>
    <t xml:space="preserve">Regulatory Reporting</t>
  </si>
  <si>
    <t xml:space="preserve">Timely CTR/SAR reporting to FIU</t>
  </si>
  <si>
    <t xml:space="preserve">COMPOSITE RISK SCORE (Weighted Average)</t>
  </si>
  <si>
    <t xml:space="preserve">TRANSACTION MONITORING REGISTER  |  50 Flagged Transactions</t>
  </si>
  <si>
    <t xml:space="preserve">Rule-Based &amp; AI-Triggered Suspicious Transaction Records</t>
  </si>
  <si>
    <t xml:space="preserve">Txn ID</t>
  </si>
  <si>
    <t xml:space="preserve">Date</t>
  </si>
  <si>
    <t xml:space="preserve">Txn Type</t>
  </si>
  <si>
    <t xml:space="preserve">Counterparty</t>
  </si>
  <si>
    <t xml:space="preserve">Country</t>
  </si>
  <si>
    <t xml:space="preserve">Rule Triggered</t>
  </si>
  <si>
    <t xml:space="preserve">Risk Flag</t>
  </si>
  <si>
    <t xml:space="preserve">Reviewed</t>
  </si>
  <si>
    <t xml:space="preserve">Action</t>
  </si>
  <si>
    <t xml:space="preserve">Reviewer</t>
  </si>
  <si>
    <t xml:space="preserve">Date Reviewed</t>
  </si>
  <si>
    <t xml:space="preserve">TXN40001</t>
  </si>
  <si>
    <t xml:space="preserve">Wire Transfer</t>
  </si>
  <si>
    <t xml:space="preserve">Amount &gt; $10,000 Cash</t>
  </si>
  <si>
    <t xml:space="preserve">Refer to MLRO</t>
  </si>
  <si>
    <t xml:space="preserve">06/01/2024</t>
  </si>
  <si>
    <t xml:space="preserve">TXN40002</t>
  </si>
  <si>
    <t xml:space="preserve">Cash Deposit</t>
  </si>
  <si>
    <t xml:space="preserve">Panama</t>
  </si>
  <si>
    <t xml:space="preserve">Rapid in-out same day</t>
  </si>
  <si>
    <t xml:space="preserve">Contact Customer</t>
  </si>
  <si>
    <t xml:space="preserve">07/02/2024</t>
  </si>
  <si>
    <t xml:space="preserve">TXN40003</t>
  </si>
  <si>
    <t xml:space="preserve">Cash Withdrawal</t>
  </si>
  <si>
    <t xml:space="preserve">British Virgin Islands</t>
  </si>
  <si>
    <t xml:space="preserve">High-risk jurisdiction transfer</t>
  </si>
  <si>
    <t xml:space="preserve">Freeze Transaction</t>
  </si>
  <si>
    <t xml:space="preserve">10/03/2024</t>
  </si>
  <si>
    <t xml:space="preserve">TXN40004</t>
  </si>
  <si>
    <t xml:space="preserve">SWIFT Transfer</t>
  </si>
  <si>
    <t xml:space="preserve">Cayman Islands</t>
  </si>
  <si>
    <t xml:space="preserve">Multiple transactions structuring</t>
  </si>
  <si>
    <t xml:space="preserve">Ongoing Review</t>
  </si>
  <si>
    <t xml:space="preserve">14/04/2024</t>
  </si>
  <si>
    <t xml:space="preserve">TXN40005</t>
  </si>
  <si>
    <t xml:space="preserve">Internal Transfer</t>
  </si>
  <si>
    <t xml:space="preserve">Switzerland</t>
  </si>
  <si>
    <t xml:space="preserve">Dormant account sudden activity</t>
  </si>
  <si>
    <t xml:space="preserve">TXN40006</t>
  </si>
  <si>
    <t xml:space="preserve">Crypto Exchange</t>
  </si>
  <si>
    <t xml:space="preserve">Round-dollar amounts</t>
  </si>
  <si>
    <t xml:space="preserve">Monitor &amp; Watch</t>
  </si>
  <si>
    <t xml:space="preserve">10/06/2024</t>
  </si>
  <si>
    <t xml:space="preserve">TXN40007</t>
  </si>
  <si>
    <t xml:space="preserve">Real Estate Payment</t>
  </si>
  <si>
    <t xml:space="preserve">Velocity threshold breach</t>
  </si>
  <si>
    <t xml:space="preserve">TXN40008</t>
  </si>
  <si>
    <t xml:space="preserve">Trade Finance</t>
  </si>
  <si>
    <t xml:space="preserve">Iran</t>
  </si>
  <si>
    <t xml:space="preserve">PEP counterparty</t>
  </si>
  <si>
    <t xml:space="preserve">Block &amp; Report</t>
  </si>
  <si>
    <t xml:space="preserve">TXN40009</t>
  </si>
  <si>
    <t xml:space="preserve">Card Transaction</t>
  </si>
  <si>
    <t xml:space="preserve">North Korea</t>
  </si>
  <si>
    <t xml:space="preserve">Sanctions list match</t>
  </si>
  <si>
    <t xml:space="preserve">TXN40010</t>
  </si>
  <si>
    <t xml:space="preserve">Loan Drawdown</t>
  </si>
  <si>
    <t xml:space="preserve">Myanmar</t>
  </si>
  <si>
    <t xml:space="preserve">Unusual frequency pattern</t>
  </si>
  <si>
    <t xml:space="preserve">19/10/2024</t>
  </si>
  <si>
    <t xml:space="preserve">TXN40011</t>
  </si>
  <si>
    <t xml:space="preserve">Cross-border to FATF grey list</t>
  </si>
  <si>
    <t xml:space="preserve">File SAR</t>
  </si>
  <si>
    <t xml:space="preserve">15/11/2024</t>
  </si>
  <si>
    <t xml:space="preserve">TXN40012</t>
  </si>
  <si>
    <t xml:space="preserve">Off-hours bulk transfer</t>
  </si>
  <si>
    <t xml:space="preserve">15/12/2024</t>
  </si>
  <si>
    <t xml:space="preserve">TXN40013</t>
  </si>
  <si>
    <t xml:space="preserve">UK</t>
  </si>
  <si>
    <t xml:space="preserve">Inconsistent with profile</t>
  </si>
  <si>
    <t xml:space="preserve">TXN40014</t>
  </si>
  <si>
    <t xml:space="preserve">New beneficiary &gt; $50K</t>
  </si>
  <si>
    <t xml:space="preserve">TXN40015</t>
  </si>
  <si>
    <t xml:space="preserve">Crypto off-ramp detected</t>
  </si>
  <si>
    <t xml:space="preserve">TXN40016</t>
  </si>
  <si>
    <t xml:space="preserve">Request Documentation</t>
  </si>
  <si>
    <t xml:space="preserve">17/04/2024</t>
  </si>
  <si>
    <t xml:space="preserve">TXN40017</t>
  </si>
  <si>
    <t xml:space="preserve">TXN40018</t>
  </si>
  <si>
    <t xml:space="preserve">TXN40019</t>
  </si>
  <si>
    <t xml:space="preserve">TXN40020</t>
  </si>
  <si>
    <t xml:space="preserve">TXN40021</t>
  </si>
  <si>
    <t xml:space="preserve">TXN40022</t>
  </si>
  <si>
    <t xml:space="preserve">01/11/2024</t>
  </si>
  <si>
    <t xml:space="preserve">TXN40023</t>
  </si>
  <si>
    <t xml:space="preserve">TXN40024</t>
  </si>
  <si>
    <t xml:space="preserve">01/01/2025</t>
  </si>
  <si>
    <t xml:space="preserve">TXN40025</t>
  </si>
  <si>
    <t xml:space="preserve">03/02/2024</t>
  </si>
  <si>
    <t xml:space="preserve">TXN40026</t>
  </si>
  <si>
    <t xml:space="preserve">05/03/2024</t>
  </si>
  <si>
    <t xml:space="preserve">TXN40027</t>
  </si>
  <si>
    <t xml:space="preserve">TXN40028</t>
  </si>
  <si>
    <t xml:space="preserve">TXN40029</t>
  </si>
  <si>
    <t xml:space="preserve">08/05/2024</t>
  </si>
  <si>
    <t xml:space="preserve">TXN40030</t>
  </si>
  <si>
    <t xml:space="preserve">09/06/2024</t>
  </si>
  <si>
    <t xml:space="preserve">TXN40031</t>
  </si>
  <si>
    <t xml:space="preserve">11/07/2024</t>
  </si>
  <si>
    <t xml:space="preserve">TXN40032</t>
  </si>
  <si>
    <t xml:space="preserve">11/08/2024</t>
  </si>
  <si>
    <t xml:space="preserve">TXN40033</t>
  </si>
  <si>
    <t xml:space="preserve">Escalate to AML Team</t>
  </si>
  <si>
    <t xml:space="preserve">TXN40034</t>
  </si>
  <si>
    <t xml:space="preserve">TXN40035</t>
  </si>
  <si>
    <t xml:space="preserve">14/11/2024</t>
  </si>
  <si>
    <t xml:space="preserve">TXN40036</t>
  </si>
  <si>
    <t xml:space="preserve">TXN40037</t>
  </si>
  <si>
    <t xml:space="preserve">TXN40038</t>
  </si>
  <si>
    <t xml:space="preserve">TXN40039</t>
  </si>
  <si>
    <t xml:space="preserve">No Action — Cleared</t>
  </si>
  <si>
    <t xml:space="preserve">TXN40040</t>
  </si>
  <si>
    <t xml:space="preserve">TXN40041</t>
  </si>
  <si>
    <t xml:space="preserve">TXN40042</t>
  </si>
  <si>
    <t xml:space="preserve">TXN40043</t>
  </si>
  <si>
    <t xml:space="preserve">TXN40044</t>
  </si>
  <si>
    <t xml:space="preserve">21/08/2024</t>
  </si>
  <si>
    <t xml:space="preserve">TXN40045</t>
  </si>
  <si>
    <t xml:space="preserve">25/09/2024</t>
  </si>
  <si>
    <t xml:space="preserve">TXN40046</t>
  </si>
  <si>
    <t xml:space="preserve">23/10/2024</t>
  </si>
  <si>
    <t xml:space="preserve">TXN40047</t>
  </si>
  <si>
    <t xml:space="preserve">27/11/2024</t>
  </si>
  <si>
    <t xml:space="preserve">TXN40048</t>
  </si>
  <si>
    <t xml:space="preserve">TXN40049</t>
  </si>
  <si>
    <t xml:space="preserve">22/01/2024</t>
  </si>
  <si>
    <t xml:space="preserve">TXN40050</t>
  </si>
  <si>
    <t xml:space="preserve">23/02/2024</t>
  </si>
  <si>
    <t xml:space="preserve">POWER BI SETUP GUIDE  |  Fresher-Friendly Step-by-Step</t>
  </si>
  <si>
    <t xml:space="preserve">Connect this Excel file to Power BI and build a full AML/KYC compliance dashboard</t>
  </si>
  <si>
    <t xml:space="preserve">  STEP 1 — CONNECT EXCEL TO POWER BI</t>
  </si>
  <si>
    <t xml:space="preserve">  1. Open Power BI Desktop → click 'Get Data' → choose 'Excel Workbook'</t>
  </si>
  <si>
    <t xml:space="preserve">  2. Browse and select: AML_KYC_EDD_Dashboard_50.xlsx</t>
  </si>
  <si>
    <t xml:space="preserve">  3. In Navigator, tick all sheets: KYC Register, AML Alerts, EDD Cases, SAR Log, Transaction Monitor, Risk Matrix</t>
  </si>
  <si>
    <t xml:space="preserve">  4. Click 'Transform Data' → Power Query opens → review data, then click 'Close &amp; Apply'</t>
  </si>
  <si>
    <t xml:space="preserve">  STEP 2 — BUILD KYC PAGE</t>
  </si>
  <si>
    <t xml:space="preserve">  • Donut Chart: Legend = Risk Level, Values = Count of Cust ID</t>
  </si>
  <si>
    <t xml:space="preserve">  • Stacked Column: X = KYC Status, Y = Count of Cust ID, Legend = Account Type</t>
  </si>
  <si>
    <t xml:space="preserve">  • Table: Cust ID | Name | Risk Level | KYC Status | PEP Flag | Sanctions | Remarks</t>
  </si>
  <si>
    <t xml:space="preserve">  • Cards: [Total Customers = 50] [PEP Count] [Sanctions Fails] [KYC % Verified]</t>
  </si>
  <si>
    <t xml:space="preserve">  • Slicer: Risk Level | KYC Status | Nationality for interactive filtering</t>
  </si>
  <si>
    <t xml:space="preserve">  STEP 3 — BUILD AML ALERTS PAGE</t>
  </si>
  <si>
    <t xml:space="preserve">  • KPI Cards: Total Alerts | Open | Escalated | SAR Filed | Avg Risk Score</t>
  </si>
  <si>
    <t xml:space="preserve">  • Line Chart: X = Alert Date (Month), Y = Count of Alert ID (Trend over time)</t>
  </si>
  <si>
    <t xml:space="preserve">  • Stacked Bar: Alert Type by Priority — see which alert types are most critical</t>
  </si>
  <si>
    <t xml:space="preserve">  • Matrix: Status (rows) × Investigator (columns) = Count — shows workload</t>
  </si>
  <si>
    <t xml:space="preserve">  • Conditional Formatting on Risk Score: 55-69=Green, 70-84=Amber, 85-99=Red</t>
  </si>
  <si>
    <t xml:space="preserve">  STEP 4 — BUILD EDD CASES PAGE</t>
  </si>
  <si>
    <t xml:space="preserve">  • Gauge Chart: Completed EDD / Total EDD (completion rate target = 80%)</t>
  </si>
  <si>
    <t xml:space="preserve">  • Bar Chart: EDD Cases by EDD Reason — which trigger fires most often?</t>
  </si>
  <si>
    <t xml:space="preserve">  • Table: Filter Status = Overdue — shows urgent cases needing action</t>
  </si>
  <si>
    <t xml:space="preserve">  • Scatter: X = Net Worth, Y = Risk Rating — identify outlier wealthy customers</t>
  </si>
  <si>
    <t xml:space="preserve">  • Slicer: Stage | Investigator | EDD Reason for drill-down analysis</t>
  </si>
  <si>
    <t xml:space="preserve">  STEP 5 — BUILD SAR ANALYTICS PAGE</t>
  </si>
  <si>
    <t xml:space="preserve">  • Cards: Total SARs | Pending Feedback | Prosecution Rate | High Priority SARs</t>
  </si>
  <si>
    <t xml:space="preserve">  • Column Chart: Filing Date → Month on X-axis, Count of SAR Ref on Y-axis</t>
  </si>
  <si>
    <t xml:space="preserve">  • Pie Chart: Case Outcome distribution — Prosecution vs Closed vs Pending etc.</t>
  </si>
  <si>
    <t xml:space="preserve">  • Table: All Active SARs with FIU Reference, Priority, and Outcome</t>
  </si>
  <si>
    <t xml:space="preserve">  STEP 6 — TRANSACTION MONITORING PAGE</t>
  </si>
  <si>
    <t xml:space="preserve">  • Table: All 50 transactions with Rule Triggered, Risk Flag, Action</t>
  </si>
  <si>
    <t xml:space="preserve">  • Bar: Count of transactions by Country — spot high-risk jurisdiction exposure</t>
  </si>
  <si>
    <t xml:space="preserve">  • Slicer: Risk Flag (High/Medium/Low) | Reviewed (Yes/No/Pending)</t>
  </si>
  <si>
    <t xml:space="preserve">  STEP 7 — USEFUL DAX FORMULAS</t>
  </si>
  <si>
    <t xml:space="preserve">  KYC_Verified% = DIVIDE(CALCULATE(COUNTROWS('KYC Register'),'KYC Register'[KYC Status]="Verified"),COUNTROWS('KYC Register'),0)</t>
  </si>
  <si>
    <t xml:space="preserve">  HighRisk_Count = CALCULATE(COUNTROWS('KYC Register'),'KYC Register'[Risk Level]="High")</t>
  </si>
  <si>
    <t xml:space="preserve">  Alert_ClosureRate = DIVIDE(CALCULATE(COUNTROWS('AML Alerts'),OR('AML Alerts'[Status]="Closed - SAR",'AML Alerts'[Status]="Closed - No Action")),COUNTROWS('AML Alerts'),0)</t>
  </si>
  <si>
    <t xml:space="preserve">  EDD_Overdue = CALCULATE(COUNTROWS('EDD Cases'),'EDD Cases'[Status]="Overdue")</t>
  </si>
  <si>
    <t xml:space="preserve">  SAR_ProsecutionRate = DIVIDE(CALCULATE(COUNTROWS('SAR Log'),'SAR Log'[Case Outcome]="Prosecution Initiated"),COUNTROWS('SAR Log'),0)</t>
  </si>
  <si>
    <t xml:space="preserve">  AvgDaysOpen = AVERAGEX('AML Alerts','AML Alerts'[Days Open])</t>
  </si>
  <si>
    <t xml:space="preserve">  STEP 8 — FRESHER TIPS FOR GREAT DASHBOARDS</t>
  </si>
  <si>
    <t xml:space="preserve">  ✅ Red = High Risk / Amber = Medium Risk / Green = Low Risk — be consistent across all pages</t>
  </si>
  <si>
    <t xml:space="preserve">  ✅ Add a Date Slicer at the top of every page so managers can filter by period</t>
  </si>
  <si>
    <t xml:space="preserve">  ✅ Use Drill-Through: right-click a customer → see all their alerts, EDD, and SARs</t>
  </si>
  <si>
    <t xml:space="preserve">  ✅ Add Bookmarks to switch between 'Executive View' and 'Analyst Detail View'</t>
  </si>
  <si>
    <t xml:space="preserve">  ✅ Enable Row-Level Security (RLS) so investigators only see their own cases</t>
  </si>
  <si>
    <t xml:space="preserve">  ✅ Publish to Power BI Service → share with team → schedule daily data refresh</t>
  </si>
  <si>
    <t xml:space="preserve">  ✅ Use Power Automate to send email alerts when High Risk alerts are created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</si>
</sst>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\%"/>
  </numFmts>
  <fonts count="5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i val="true"/>
      <sz val="10"/>
      <color rgb="FF90A4AE"/>
      <name val="Calibri"/>
      <family val="0"/>
      <charset val="1"/>
    </font>
    <font>
      <b val="true"/>
      <sz val="9"/>
      <color rgb="FF0D47A1"/>
      <name val="Calibri"/>
      <family val="0"/>
      <charset val="1"/>
    </font>
    <font>
      <b val="true"/>
      <sz val="9"/>
      <color rgb="FFE53935"/>
      <name val="Calibri"/>
      <family val="0"/>
      <charset val="1"/>
    </font>
    <font>
      <b val="true"/>
      <sz val="9"/>
      <color rgb="FF00695C"/>
      <name val="Calibri"/>
      <family val="0"/>
      <charset val="1"/>
    </font>
    <font>
      <b val="true"/>
      <sz val="9"/>
      <color rgb="FFFF8F00"/>
      <name val="Calibri"/>
      <family val="0"/>
      <charset val="1"/>
    </font>
    <font>
      <b val="true"/>
      <sz val="9"/>
      <color rgb="FF1565C0"/>
      <name val="Calibri"/>
      <family val="0"/>
      <charset val="1"/>
    </font>
    <font>
      <b val="true"/>
      <sz val="9"/>
      <color rgb="FF4A148C"/>
      <name val="Calibri"/>
      <family val="0"/>
      <charset val="1"/>
    </font>
    <font>
      <b val="true"/>
      <sz val="18"/>
      <color rgb="FF0D47A1"/>
      <name val="Calibri"/>
      <family val="0"/>
      <charset val="1"/>
    </font>
    <font>
      <b val="true"/>
      <sz val="18"/>
      <color rgb="FFE53935"/>
      <name val="Calibri"/>
      <family val="0"/>
      <charset val="1"/>
    </font>
    <font>
      <b val="true"/>
      <sz val="18"/>
      <color rgb="FF00695C"/>
      <name val="Calibri"/>
      <family val="0"/>
      <charset val="1"/>
    </font>
    <font>
      <b val="true"/>
      <sz val="18"/>
      <color rgb="FFFF8F00"/>
      <name val="Calibri"/>
      <family val="0"/>
      <charset val="1"/>
    </font>
    <font>
      <b val="true"/>
      <sz val="18"/>
      <color rgb="FF1565C0"/>
      <name val="Calibri"/>
      <family val="0"/>
      <charset val="1"/>
    </font>
    <font>
      <b val="true"/>
      <sz val="18"/>
      <color rgb="FF4A148C"/>
      <name val="Calibri"/>
      <family val="0"/>
      <charset val="1"/>
    </font>
    <font>
      <i val="true"/>
      <sz val="9"/>
      <color rgb="FF607D8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B5E20"/>
      <name val="Calibri"/>
      <family val="0"/>
      <charset val="1"/>
    </font>
    <font>
      <sz val="10"/>
      <color rgb="FF1B5E20"/>
      <name val="Calibri"/>
      <family val="0"/>
      <charset val="1"/>
    </font>
    <font>
      <sz val="10"/>
      <color rgb="FF263238"/>
      <name val="Calibri"/>
      <family val="0"/>
      <charset val="1"/>
    </font>
    <font>
      <b val="true"/>
      <sz val="10"/>
      <color rgb="FFFF8F00"/>
      <name val="Calibri"/>
      <family val="0"/>
      <charset val="1"/>
    </font>
    <font>
      <sz val="10"/>
      <color rgb="FFFF8F00"/>
      <name val="Calibri"/>
      <family val="0"/>
      <charset val="1"/>
    </font>
    <font>
      <b val="true"/>
      <sz val="10"/>
      <color rgb="FFB71C1C"/>
      <name val="Calibri"/>
      <family val="0"/>
      <charset val="1"/>
    </font>
    <font>
      <sz val="10"/>
      <color rgb="FFB71C1C"/>
      <name val="Calibri"/>
      <family val="0"/>
      <charset val="1"/>
    </font>
    <font>
      <b val="true"/>
      <sz val="10"/>
      <color rgb="FF4A148C"/>
      <name val="Calibri"/>
      <family val="0"/>
      <charset val="1"/>
    </font>
    <font>
      <sz val="10"/>
      <color rgb="FF4A148C"/>
      <name val="Calibri"/>
      <family val="0"/>
      <charset val="1"/>
    </font>
    <font>
      <b val="true"/>
      <sz val="10"/>
      <color rgb="FF880E4F"/>
      <name val="Calibri"/>
      <family val="0"/>
      <charset val="1"/>
    </font>
    <font>
      <sz val="10"/>
      <color rgb="FF880E4F"/>
      <name val="Calibri"/>
      <family val="0"/>
      <charset val="1"/>
    </font>
    <font>
      <b val="true"/>
      <sz val="10"/>
      <color rgb="FF0D47A1"/>
      <name val="Calibri"/>
      <family val="0"/>
      <charset val="1"/>
    </font>
    <font>
      <sz val="10"/>
      <color rgb="FF0D47A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FFFFFF"/>
      <name val="Calibri"/>
      <family val="0"/>
      <charset val="1"/>
    </font>
    <font>
      <i val="true"/>
      <sz val="10"/>
      <color rgb="FFB0BEC5"/>
      <name val="Calibri"/>
      <family val="0"/>
      <charset val="1"/>
    </font>
    <font>
      <sz val="10"/>
      <name val="Calibri"/>
      <family val="0"/>
      <charset val="1"/>
    </font>
    <font>
      <b val="true"/>
      <sz val="12"/>
      <color rgb="FF1B5E20"/>
      <name val="Calibri"/>
      <family val="0"/>
      <charset val="1"/>
    </font>
    <font>
      <b val="true"/>
      <sz val="12"/>
      <color rgb="FFFF8F00"/>
      <name val="Calibri"/>
      <family val="0"/>
      <charset val="1"/>
    </font>
    <font>
      <b val="true"/>
      <sz val="12"/>
      <color rgb="FF0D47A1"/>
      <name val="Calibri"/>
      <family val="0"/>
      <charset val="1"/>
    </font>
    <font>
      <b val="true"/>
      <sz val="12"/>
      <color rgb="FFB71C1C"/>
      <name val="Calibri"/>
      <family val="0"/>
      <charset val="1"/>
    </font>
    <font>
      <b val="true"/>
      <sz val="12"/>
      <color rgb="FF4A148C"/>
      <name val="Calibri"/>
      <family val="0"/>
      <charset val="1"/>
    </font>
    <font>
      <i val="true"/>
      <sz val="10"/>
      <color rgb="FFEF9A9A"/>
      <name val="Calibri"/>
      <family val="0"/>
      <charset val="1"/>
    </font>
    <font>
      <i val="true"/>
      <sz val="10"/>
      <color rgb="FFCE93D8"/>
      <name val="Calibri"/>
      <family val="0"/>
      <charset val="1"/>
    </font>
    <font>
      <i val="true"/>
      <sz val="10"/>
      <color rgb="FFB2DFDB"/>
      <name val="Calibri"/>
      <family val="0"/>
      <charset val="1"/>
    </font>
    <font>
      <b val="true"/>
      <sz val="10"/>
      <name val="Calibri"/>
      <family val="0"/>
      <charset val="1"/>
    </font>
    <font>
      <i val="true"/>
      <sz val="10"/>
      <color rgb="FF607D8B"/>
      <name val="Calibri"/>
      <family val="0"/>
      <charset val="1"/>
    </font>
    <font>
      <b val="true"/>
      <sz val="13"/>
      <color rgb="FFF9A825"/>
      <name val="Calibri"/>
      <family val="0"/>
      <charset val="1"/>
    </font>
    <font>
      <i val="true"/>
      <sz val="10"/>
      <color rgb="FF9FA8DA"/>
      <name val="Calibri"/>
      <family val="0"/>
      <charset val="1"/>
    </font>
    <font>
      <b val="true"/>
      <sz val="16"/>
      <color rgb="FF1B1B1B"/>
      <name val="Calibri"/>
      <family val="0"/>
      <charset val="1"/>
    </font>
    <font>
      <i val="true"/>
      <sz val="10"/>
      <color rgb="FF1B1B1B"/>
      <name val="Calibri"/>
      <family val="0"/>
      <charset val="1"/>
    </font>
  </fonts>
  <fills count="29">
    <fill>
      <patternFill patternType="none"/>
    </fill>
    <fill>
      <patternFill patternType="gray125"/>
    </fill>
    <fill>
      <patternFill patternType="solid">
        <fgColor rgb="FF1B2A4A"/>
        <bgColor rgb="FF1C313A"/>
      </patternFill>
    </fill>
    <fill>
      <patternFill patternType="solid">
        <fgColor rgb="FF263238"/>
        <bgColor rgb="FF1C313A"/>
      </patternFill>
    </fill>
    <fill>
      <patternFill patternType="solid">
        <fgColor rgb="FFE3F2FD"/>
        <bgColor rgb="FFE0F2F1"/>
      </patternFill>
    </fill>
    <fill>
      <patternFill patternType="solid">
        <fgColor rgb="FFFFEBEE"/>
        <bgColor rgb="FFFCE4EC"/>
      </patternFill>
    </fill>
    <fill>
      <patternFill patternType="solid">
        <fgColor rgb="FFE0F2F1"/>
        <bgColor rgb="FFE3F2FD"/>
      </patternFill>
    </fill>
    <fill>
      <patternFill patternType="solid">
        <fgColor rgb="FFFFF8E1"/>
        <bgColor rgb="FFF9F9F9"/>
      </patternFill>
    </fill>
    <fill>
      <patternFill patternType="solid">
        <fgColor rgb="FFE8EAF6"/>
        <bgColor rgb="FFEDE7F6"/>
      </patternFill>
    </fill>
    <fill>
      <patternFill patternType="solid">
        <fgColor rgb="FFF3E5F5"/>
        <bgColor rgb="FFEDE7F6"/>
      </patternFill>
    </fill>
    <fill>
      <patternFill patternType="solid">
        <fgColor rgb="FF1565C0"/>
        <bgColor rgb="FF0D47A1"/>
      </patternFill>
    </fill>
    <fill>
      <patternFill patternType="solid">
        <fgColor rgb="FFE8F5E9"/>
        <bgColor rgb="FFE0F2F1"/>
      </patternFill>
    </fill>
    <fill>
      <patternFill patternType="solid">
        <fgColor rgb="FFFFFFFF"/>
        <bgColor rgb="FFF9F9F9"/>
      </patternFill>
    </fill>
    <fill>
      <patternFill patternType="solid">
        <fgColor rgb="FFEDE7F6"/>
        <bgColor rgb="FFE8EAF6"/>
      </patternFill>
    </fill>
    <fill>
      <patternFill patternType="solid">
        <fgColor rgb="FFFCE4EC"/>
        <bgColor rgb="FFFFEBEE"/>
      </patternFill>
    </fill>
    <fill>
      <patternFill patternType="solid">
        <fgColor rgb="FF1C313A"/>
        <bgColor rgb="FF263238"/>
      </patternFill>
    </fill>
    <fill>
      <patternFill patternType="solid">
        <fgColor rgb="FF0D47A1"/>
        <bgColor rgb="FF1565C0"/>
      </patternFill>
    </fill>
    <fill>
      <patternFill patternType="solid">
        <fgColor rgb="FFECEFF1"/>
        <bgColor rgb="FFE8EAF6"/>
      </patternFill>
    </fill>
    <fill>
      <patternFill patternType="solid">
        <fgColor rgb="FFB71C1C"/>
        <bgColor rgb="FF880E4F"/>
      </patternFill>
    </fill>
    <fill>
      <patternFill patternType="solid">
        <fgColor rgb="FF4A0000"/>
        <bgColor rgb="FF800000"/>
      </patternFill>
    </fill>
    <fill>
      <patternFill patternType="solid">
        <fgColor rgb="FF4A148C"/>
        <bgColor rgb="FF1A237E"/>
      </patternFill>
    </fill>
    <fill>
      <patternFill patternType="solid">
        <fgColor rgb="FF1A0035"/>
        <bgColor rgb="FF0D0D3A"/>
      </patternFill>
    </fill>
    <fill>
      <patternFill patternType="solid">
        <fgColor rgb="FF00695C"/>
        <bgColor rgb="FF004D40"/>
      </patternFill>
    </fill>
    <fill>
      <patternFill patternType="solid">
        <fgColor rgb="FF004D40"/>
        <bgColor rgb="FF1B5E20"/>
      </patternFill>
    </fill>
    <fill>
      <patternFill patternType="solid">
        <fgColor rgb="FF37474F"/>
        <bgColor rgb="FF263238"/>
      </patternFill>
    </fill>
    <fill>
      <patternFill patternType="solid">
        <fgColor rgb="FF1A237E"/>
        <bgColor rgb="FF1B2A4A"/>
      </patternFill>
    </fill>
    <fill>
      <patternFill patternType="solid">
        <fgColor rgb="FF0D0D3A"/>
        <bgColor rgb="FF1A0035"/>
      </patternFill>
    </fill>
    <fill>
      <patternFill patternType="solid">
        <fgColor rgb="FFF2C811"/>
        <bgColor rgb="FFF9A825"/>
      </patternFill>
    </fill>
    <fill>
      <patternFill patternType="solid">
        <fgColor rgb="FFB8860B"/>
        <bgColor rgb="FFFF8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2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2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2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2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1" fillId="2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2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1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11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D47A1"/>
      <rgbColor rgb="FFECEFF1"/>
      <rgbColor rgb="FFFF00FF"/>
      <rgbColor rgb="FFEDE7F6"/>
      <rgbColor rgb="FF4A0000"/>
      <rgbColor rgb="FF1B5E20"/>
      <rgbColor rgb="FF0D0D3A"/>
      <rgbColor rgb="FFB8860B"/>
      <rgbColor rgb="FF880E4F"/>
      <rgbColor rgb="FF00695C"/>
      <rgbColor rgb="FFBDBDBD"/>
      <rgbColor rgb="FF878787"/>
      <rgbColor rgb="FF9FA8DA"/>
      <rgbColor rgb="FFBE4B48"/>
      <rgbColor rgb="FFFFF8E1"/>
      <rgbColor rgb="FFE0F2F1"/>
      <rgbColor rgb="FF4A148C"/>
      <rgbColor rgb="FFF9A825"/>
      <rgbColor rgb="FF1565C0"/>
      <rgbColor rgb="FFD9D9D9"/>
      <rgbColor rgb="FF1A0035"/>
      <rgbColor rgb="FFFF00FF"/>
      <rgbColor rgb="FFF9F9F9"/>
      <rgbColor rgb="FF00FFFF"/>
      <rgbColor rgb="FF800080"/>
      <rgbColor rgb="FF800000"/>
      <rgbColor rgb="FF004D40"/>
      <rgbColor rgb="FF0000FF"/>
      <rgbColor rgb="FFF3E5F5"/>
      <rgbColor rgb="FFE3F2FD"/>
      <rgbColor rgb="FFE8F5E9"/>
      <rgbColor rgb="FFFFEBEE"/>
      <rgbColor rgb="FFB2DFDB"/>
      <rgbColor rgb="FFEF9A9A"/>
      <rgbColor rgb="FFCE93D8"/>
      <rgbColor rgb="FFFCE4EC"/>
      <rgbColor rgb="FF4A7EBB"/>
      <rgbColor rgb="FFE8EAF6"/>
      <rgbColor rgb="FFB0BEC5"/>
      <rgbColor rgb="FFF2C811"/>
      <rgbColor rgb="FFFF8F00"/>
      <rgbColor rgb="FFE53935"/>
      <rgbColor rgb="FF607D8B"/>
      <rgbColor rgb="FF90A4AE"/>
      <rgbColor rgb="FF1B2A4A"/>
      <rgbColor rgb="FF4F81BD"/>
      <rgbColor rgb="FF1B1B1B"/>
      <rgbColor rgb="FF1C313A"/>
      <rgbColor rgb="FFB71C1C"/>
      <rgbColor rgb="FF37474F"/>
      <rgbColor rgb="FF1A237E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 Risk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'🏠 Dashboard'!C13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'🏠 Dashboard'!$B$14:$B$19</c:f>
              <c:strCache>
                <c:ptCount val="6"/>
                <c:pt idx="0">
                  <c:v>Low Risk</c:v>
                </c:pt>
                <c:pt idx="1">
                  <c:v>Medium Risk</c:v>
                </c:pt>
                <c:pt idx="2">
                  <c:v>High Risk</c:v>
                </c:pt>
                <c:pt idx="3">
                  <c:v>PEP</c:v>
                </c:pt>
                <c:pt idx="4">
                  <c:v>Sanctioned</c:v>
                </c:pt>
                <c:pt idx="5">
                  <c:v>Under Review</c:v>
                </c:pt>
              </c:strCache>
            </c:strRef>
          </c:cat>
          <c:val>
            <c:numRef>
              <c:f>'🏠 Dashboard'!$C$14:$C$19</c:f>
              <c:numCache>
                <c:formatCode>General</c:formatCode>
                <c:ptCount val="6"/>
                <c:pt idx="0">
                  <c:v>22</c:v>
                </c:pt>
                <c:pt idx="1">
                  <c:v>14</c:v>
                </c:pt>
                <c:pt idx="2">
                  <c:v>9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gapWidth val="150"/>
        <c:overlap val="0"/>
        <c:axId val="40671760"/>
        <c:axId val="3284851"/>
      </c:barChart>
      <c:catAx>
        <c:axId val="4067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4851"/>
        <c:crosses val="autoZero"/>
        <c:auto val="1"/>
        <c:lblAlgn val="ctr"/>
        <c:lblOffset val="100"/>
        <c:noMultiLvlLbl val="0"/>
      </c:catAx>
      <c:valAx>
        <c:axId val="32848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717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Alert &amp; SAR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'🏠 Dashboard'!L13</c:f>
              <c:strCache>
                <c:ptCount val="1"/>
                <c:pt idx="0">
                  <c:v>Alerts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'🏠 Dashboard'!$K$14:$K$25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'🏠 Dashboard'!$L$14:$L$25</c:f>
              <c:numCache>
                <c:formatCode>General</c:formatCode>
                <c:ptCount val="12"/>
                <c:pt idx="0">
                  <c:v>180</c:v>
                </c:pt>
                <c:pt idx="1">
                  <c:v>210</c:v>
                </c:pt>
                <c:pt idx="2">
                  <c:v>245</c:v>
                </c:pt>
                <c:pt idx="3">
                  <c:v>230</c:v>
                </c:pt>
                <c:pt idx="4">
                  <c:v>268</c:v>
                </c:pt>
                <c:pt idx="5">
                  <c:v>290</c:v>
                </c:pt>
                <c:pt idx="6">
                  <c:v>275</c:v>
                </c:pt>
                <c:pt idx="7">
                  <c:v>310</c:v>
                </c:pt>
                <c:pt idx="8">
                  <c:v>285</c:v>
                </c:pt>
                <c:pt idx="9">
                  <c:v>340</c:v>
                </c:pt>
                <c:pt idx="10">
                  <c:v>315</c:v>
                </c:pt>
                <c:pt idx="11">
                  <c:v>390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'🏠 Dashboard'!M13</c:f>
              <c:strCache>
                <c:ptCount val="1"/>
                <c:pt idx="0">
                  <c:v>SARs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'🏠 Dashboard'!$K$14:$K$25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'🏠 Dashboard'!$M$14:$M$25</c:f>
              <c:numCache>
                <c:formatCode>General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7</c:v>
                </c:pt>
                <c:pt idx="7">
                  <c:v>10</c:v>
                </c:pt>
                <c:pt idx="8">
                  <c:v>9</c:v>
                </c:pt>
                <c:pt idx="9">
                  <c:v>12</c:v>
                </c:pt>
                <c:pt idx="10">
                  <c:v>10</c:v>
                </c:pt>
                <c:pt idx="11">
                  <c:v>14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673331"/>
        <c:axId val="90174435"/>
      </c:lineChart>
      <c:catAx>
        <c:axId val="196733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174435"/>
        <c:crosses val="autoZero"/>
        <c:auto val="1"/>
        <c:lblAlgn val="ctr"/>
        <c:lblOffset val="100"/>
        <c:noMultiLvlLbl val="0"/>
      </c:catAx>
      <c:valAx>
        <c:axId val="901744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6733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20</xdr:row>
      <xdr:rowOff>0</xdr:rowOff>
    </xdr:from>
    <xdr:to>
      <xdr:col>10</xdr:col>
      <xdr:colOff>105840</xdr:colOff>
      <xdr:row>36</xdr:row>
      <xdr:rowOff>144000</xdr:rowOff>
    </xdr:to>
    <xdr:graphicFrame>
      <xdr:nvGraphicFramePr>
        <xdr:cNvPr id="0" name="Chart 1"/>
        <xdr:cNvGraphicFramePr/>
      </xdr:nvGraphicFramePr>
      <xdr:xfrm>
        <a:off x="141120" y="407664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20</xdr:row>
      <xdr:rowOff>0</xdr:rowOff>
    </xdr:from>
    <xdr:to>
      <xdr:col>18</xdr:col>
      <xdr:colOff>307440</xdr:colOff>
      <xdr:row>36</xdr:row>
      <xdr:rowOff>144000</xdr:rowOff>
    </xdr:to>
    <xdr:graphicFrame>
      <xdr:nvGraphicFramePr>
        <xdr:cNvPr id="1" name="Chart 2"/>
        <xdr:cNvGraphicFramePr/>
      </xdr:nvGraphicFramePr>
      <xdr:xfrm>
        <a:off x="5074920" y="4076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10" min="7" style="0" width="2"/>
    <col collapsed="false" customWidth="true" hidden="false" outlineLevel="0" max="16" min="11" style="0" width="10"/>
  </cols>
  <sheetData>
    <row r="1" customFormat="false" ht="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1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21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Format="false" ht="7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customFormat="false" ht="18" hidden="false" customHeight="true" outlineLevel="0" collapsed="false">
      <c r="A5" s="2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7.5" hidden="false" customHeight="true" outlineLevel="0" collapsed="false"/>
    <row r="7" customFormat="false" ht="18" hidden="false" customHeight="true" outlineLevel="0" collapsed="false">
      <c r="B7" s="3" t="s">
        <v>2</v>
      </c>
      <c r="C7" s="3"/>
      <c r="E7" s="4" t="s">
        <v>3</v>
      </c>
      <c r="F7" s="4"/>
      <c r="H7" s="5" t="s">
        <v>4</v>
      </c>
      <c r="I7" s="5"/>
      <c r="K7" s="6" t="s">
        <v>5</v>
      </c>
      <c r="L7" s="6"/>
      <c r="N7" s="7" t="s">
        <v>6</v>
      </c>
      <c r="O7" s="7"/>
      <c r="Q7" s="8" t="s">
        <v>7</v>
      </c>
      <c r="R7" s="8"/>
    </row>
    <row r="8" customFormat="false" ht="18" hidden="false" customHeight="true" outlineLevel="0" collapsed="false">
      <c r="B8" s="9" t="s">
        <v>8</v>
      </c>
      <c r="C8" s="9"/>
      <c r="E8" s="10" t="s">
        <v>9</v>
      </c>
      <c r="F8" s="10"/>
      <c r="H8" s="11" t="s">
        <v>10</v>
      </c>
      <c r="I8" s="11"/>
      <c r="K8" s="12" t="s">
        <v>11</v>
      </c>
      <c r="L8" s="12"/>
      <c r="N8" s="13" t="s">
        <v>12</v>
      </c>
      <c r="O8" s="13"/>
      <c r="Q8" s="14" t="s">
        <v>13</v>
      </c>
      <c r="R8" s="14"/>
    </row>
    <row r="9" customFormat="false" ht="18" hidden="false" customHeight="true" outlineLevel="0" collapsed="false">
      <c r="B9" s="15" t="s">
        <v>14</v>
      </c>
      <c r="C9" s="15"/>
      <c r="E9" s="16" t="s">
        <v>15</v>
      </c>
      <c r="F9" s="16"/>
      <c r="H9" s="17" t="s">
        <v>16</v>
      </c>
      <c r="I9" s="17"/>
      <c r="K9" s="18" t="s">
        <v>17</v>
      </c>
      <c r="L9" s="18"/>
      <c r="N9" s="19" t="s">
        <v>18</v>
      </c>
      <c r="O9" s="19"/>
      <c r="Q9" s="20" t="s">
        <v>19</v>
      </c>
      <c r="R9" s="20"/>
    </row>
    <row r="10" customFormat="false" ht="18" hidden="false" customHeight="true" outlineLevel="0" collapsed="false">
      <c r="B10" s="21"/>
      <c r="C10" s="21"/>
      <c r="E10" s="22"/>
      <c r="F10" s="22"/>
      <c r="H10" s="23"/>
      <c r="I10" s="23"/>
      <c r="K10" s="24"/>
      <c r="L10" s="24"/>
      <c r="N10" s="25"/>
      <c r="O10" s="25"/>
      <c r="Q10" s="26"/>
      <c r="R10" s="26"/>
    </row>
    <row r="11" customFormat="false" ht="7.5" hidden="false" customHeight="true" outlineLevel="0" collapsed="false"/>
    <row r="12" customFormat="false" ht="19.5" hidden="false" customHeight="true" outlineLevel="0" collapsed="false">
      <c r="B12" s="27" t="s">
        <v>20</v>
      </c>
      <c r="C12" s="27"/>
      <c r="D12" s="27"/>
      <c r="E12" s="27"/>
      <c r="F12" s="27"/>
      <c r="G12" s="27"/>
      <c r="H12" s="27"/>
      <c r="I12" s="27"/>
      <c r="J12" s="27"/>
      <c r="K12" s="27" t="s">
        <v>21</v>
      </c>
      <c r="L12" s="27"/>
      <c r="M12" s="27"/>
      <c r="N12" s="27"/>
      <c r="O12" s="27"/>
      <c r="P12" s="27"/>
      <c r="Q12" s="27"/>
      <c r="R12" s="27"/>
      <c r="S12" s="27"/>
    </row>
    <row r="13" customFormat="false" ht="18" hidden="false" customHeight="true" outlineLevel="0" collapsed="false">
      <c r="B13" s="28" t="s">
        <v>22</v>
      </c>
      <c r="C13" s="28" t="s">
        <v>23</v>
      </c>
      <c r="D13" s="28" t="s">
        <v>24</v>
      </c>
      <c r="E13" s="28" t="s">
        <v>25</v>
      </c>
      <c r="F13" s="28" t="s">
        <v>26</v>
      </c>
      <c r="G13" s="28" t="s">
        <v>27</v>
      </c>
      <c r="K13" s="28" t="s">
        <v>28</v>
      </c>
      <c r="L13" s="28" t="s">
        <v>25</v>
      </c>
      <c r="M13" s="28" t="s">
        <v>29</v>
      </c>
      <c r="N13" s="28" t="s">
        <v>30</v>
      </c>
      <c r="O13" s="28" t="s">
        <v>31</v>
      </c>
      <c r="P13" s="28" t="s">
        <v>32</v>
      </c>
    </row>
    <row r="14" customFormat="false" ht="15.75" hidden="false" customHeight="true" outlineLevel="0" collapsed="false">
      <c r="B14" s="29" t="s">
        <v>33</v>
      </c>
      <c r="C14" s="30" t="n">
        <v>22</v>
      </c>
      <c r="D14" s="30" t="n">
        <f aca="false">C14/50</f>
        <v>0.44</v>
      </c>
      <c r="E14" s="30" t="n">
        <v>2</v>
      </c>
      <c r="F14" s="30" t="n">
        <v>85</v>
      </c>
      <c r="G14" s="30" t="s">
        <v>34</v>
      </c>
      <c r="K14" s="31" t="s">
        <v>35</v>
      </c>
      <c r="L14" s="31" t="n">
        <v>180</v>
      </c>
      <c r="M14" s="31" t="n">
        <v>4</v>
      </c>
      <c r="N14" s="31" t="n">
        <v>13</v>
      </c>
      <c r="O14" s="31" t="n">
        <v>10</v>
      </c>
      <c r="P14" s="31" t="n">
        <v>3</v>
      </c>
    </row>
    <row r="15" customFormat="false" ht="15.75" hidden="false" customHeight="true" outlineLevel="0" collapsed="false">
      <c r="B15" s="32" t="s">
        <v>36</v>
      </c>
      <c r="C15" s="33" t="n">
        <v>14</v>
      </c>
      <c r="D15" s="33" t="n">
        <f aca="false">C15/50</f>
        <v>0.28</v>
      </c>
      <c r="E15" s="33" t="n">
        <v>1</v>
      </c>
      <c r="F15" s="33" t="n">
        <v>52</v>
      </c>
      <c r="G15" s="33" t="s">
        <v>37</v>
      </c>
      <c r="K15" s="34" t="s">
        <v>38</v>
      </c>
      <c r="L15" s="34" t="n">
        <v>210</v>
      </c>
      <c r="M15" s="34" t="n">
        <v>5</v>
      </c>
      <c r="N15" s="34" t="n">
        <v>15</v>
      </c>
      <c r="O15" s="34" t="n">
        <v>12</v>
      </c>
      <c r="P15" s="34" t="n">
        <v>3</v>
      </c>
    </row>
    <row r="16" customFormat="false" ht="15.75" hidden="false" customHeight="true" outlineLevel="0" collapsed="false">
      <c r="B16" s="35" t="s">
        <v>39</v>
      </c>
      <c r="C16" s="36" t="n">
        <v>9</v>
      </c>
      <c r="D16" s="36" t="n">
        <f aca="false">C16/50</f>
        <v>0.18</v>
      </c>
      <c r="E16" s="36" t="n">
        <v>1</v>
      </c>
      <c r="F16" s="36" t="n">
        <v>46</v>
      </c>
      <c r="G16" s="36" t="s">
        <v>40</v>
      </c>
      <c r="K16" s="31" t="s">
        <v>41</v>
      </c>
      <c r="L16" s="31" t="n">
        <v>245</v>
      </c>
      <c r="M16" s="31" t="n">
        <v>7</v>
      </c>
      <c r="N16" s="31" t="n">
        <v>18</v>
      </c>
      <c r="O16" s="31" t="n">
        <v>14</v>
      </c>
      <c r="P16" s="31" t="n">
        <v>4</v>
      </c>
    </row>
    <row r="17" customFormat="false" ht="15.75" hidden="false" customHeight="true" outlineLevel="0" collapsed="false">
      <c r="B17" s="37" t="s">
        <v>42</v>
      </c>
      <c r="C17" s="38" t="n">
        <v>3</v>
      </c>
      <c r="D17" s="38" t="n">
        <f aca="false">C17/50</f>
        <v>0.06</v>
      </c>
      <c r="E17" s="38" t="n">
        <v>0</v>
      </c>
      <c r="F17" s="38" t="n">
        <v>62</v>
      </c>
      <c r="G17" s="38" t="s">
        <v>43</v>
      </c>
      <c r="K17" s="34" t="s">
        <v>44</v>
      </c>
      <c r="L17" s="34" t="n">
        <v>230</v>
      </c>
      <c r="M17" s="34" t="n">
        <v>6</v>
      </c>
      <c r="N17" s="34" t="n">
        <v>17</v>
      </c>
      <c r="O17" s="34" t="n">
        <v>13</v>
      </c>
      <c r="P17" s="34" t="n">
        <v>4</v>
      </c>
    </row>
    <row r="18" customFormat="false" ht="15.75" hidden="false" customHeight="true" outlineLevel="0" collapsed="false">
      <c r="B18" s="39" t="s">
        <v>45</v>
      </c>
      <c r="C18" s="40" t="n">
        <v>1</v>
      </c>
      <c r="D18" s="40" t="n">
        <f aca="false">C18/50</f>
        <v>0.02</v>
      </c>
      <c r="E18" s="40" t="n">
        <v>0</v>
      </c>
      <c r="F18" s="40" t="n">
        <v>60</v>
      </c>
      <c r="G18" s="40" t="s">
        <v>46</v>
      </c>
      <c r="K18" s="31" t="s">
        <v>47</v>
      </c>
      <c r="L18" s="31" t="n">
        <v>268</v>
      </c>
      <c r="M18" s="31" t="n">
        <v>8</v>
      </c>
      <c r="N18" s="31" t="n">
        <v>20</v>
      </c>
      <c r="O18" s="31" t="n">
        <v>16</v>
      </c>
      <c r="P18" s="31" t="n">
        <v>4</v>
      </c>
    </row>
    <row r="19" customFormat="false" ht="15.75" hidden="false" customHeight="true" outlineLevel="0" collapsed="false">
      <c r="B19" s="41" t="s">
        <v>48</v>
      </c>
      <c r="C19" s="42" t="n">
        <v>1</v>
      </c>
      <c r="D19" s="42" t="n">
        <f aca="false">C19/50</f>
        <v>0.02</v>
      </c>
      <c r="E19" s="42" t="n">
        <v>0</v>
      </c>
      <c r="F19" s="42" t="n">
        <v>59</v>
      </c>
      <c r="G19" s="42" t="s">
        <v>49</v>
      </c>
      <c r="K19" s="34" t="s">
        <v>50</v>
      </c>
      <c r="L19" s="34" t="n">
        <v>290</v>
      </c>
      <c r="M19" s="34" t="n">
        <v>9</v>
      </c>
      <c r="N19" s="34" t="n">
        <v>21</v>
      </c>
      <c r="O19" s="34" t="n">
        <v>16</v>
      </c>
      <c r="P19" s="34" t="n">
        <v>5</v>
      </c>
    </row>
    <row r="20" customFormat="false" ht="15.75" hidden="false" customHeight="true" outlineLevel="0" collapsed="false">
      <c r="K20" s="31" t="s">
        <v>51</v>
      </c>
      <c r="L20" s="31" t="n">
        <v>275</v>
      </c>
      <c r="M20" s="31" t="n">
        <v>7</v>
      </c>
      <c r="N20" s="31" t="n">
        <v>20</v>
      </c>
      <c r="O20" s="31" t="n">
        <v>16</v>
      </c>
      <c r="P20" s="31" t="n">
        <v>4</v>
      </c>
    </row>
    <row r="21" customFormat="false" ht="15.75" hidden="false" customHeight="true" outlineLevel="0" collapsed="false">
      <c r="K21" s="34" t="s">
        <v>52</v>
      </c>
      <c r="L21" s="34" t="n">
        <v>310</v>
      </c>
      <c r="M21" s="34" t="n">
        <v>10</v>
      </c>
      <c r="N21" s="34" t="n">
        <v>23</v>
      </c>
      <c r="O21" s="34" t="n">
        <v>18</v>
      </c>
      <c r="P21" s="34" t="n">
        <v>5</v>
      </c>
    </row>
    <row r="22" customFormat="false" ht="15.75" hidden="false" customHeight="true" outlineLevel="0" collapsed="false">
      <c r="K22" s="31" t="s">
        <v>53</v>
      </c>
      <c r="L22" s="31" t="n">
        <v>285</v>
      </c>
      <c r="M22" s="31" t="n">
        <v>9</v>
      </c>
      <c r="N22" s="31" t="n">
        <v>21</v>
      </c>
      <c r="O22" s="31" t="n">
        <v>16</v>
      </c>
      <c r="P22" s="31" t="n">
        <v>5</v>
      </c>
    </row>
    <row r="23" customFormat="false" ht="15.75" hidden="false" customHeight="true" outlineLevel="0" collapsed="false">
      <c r="K23" s="34" t="s">
        <v>54</v>
      </c>
      <c r="L23" s="34" t="n">
        <v>340</v>
      </c>
      <c r="M23" s="34" t="n">
        <v>12</v>
      </c>
      <c r="N23" s="34" t="n">
        <v>25</v>
      </c>
      <c r="O23" s="34" t="n">
        <v>20</v>
      </c>
      <c r="P23" s="34" t="n">
        <v>5</v>
      </c>
    </row>
    <row r="24" customFormat="false" ht="15.75" hidden="false" customHeight="true" outlineLevel="0" collapsed="false">
      <c r="K24" s="31" t="s">
        <v>55</v>
      </c>
      <c r="L24" s="31" t="n">
        <v>315</v>
      </c>
      <c r="M24" s="31" t="n">
        <v>10</v>
      </c>
      <c r="N24" s="31" t="n">
        <v>23</v>
      </c>
      <c r="O24" s="31" t="n">
        <v>18</v>
      </c>
      <c r="P24" s="31" t="n">
        <v>5</v>
      </c>
    </row>
    <row r="25" customFormat="false" ht="15.75" hidden="false" customHeight="true" outlineLevel="0" collapsed="false">
      <c r="K25" s="34" t="s">
        <v>56</v>
      </c>
      <c r="L25" s="34" t="n">
        <v>390</v>
      </c>
      <c r="M25" s="34" t="n">
        <v>14</v>
      </c>
      <c r="N25" s="34" t="n">
        <v>29</v>
      </c>
      <c r="O25" s="34" t="n">
        <v>23</v>
      </c>
      <c r="P25" s="34" t="n">
        <v>6</v>
      </c>
    </row>
  </sheetData>
  <mergeCells count="22">
    <mergeCell ref="A1:S4"/>
    <mergeCell ref="A5:S5"/>
    <mergeCell ref="B7:C7"/>
    <mergeCell ref="E7:F7"/>
    <mergeCell ref="H7:I7"/>
    <mergeCell ref="K7:L7"/>
    <mergeCell ref="N7:O7"/>
    <mergeCell ref="Q7:R7"/>
    <mergeCell ref="B8:C8"/>
    <mergeCell ref="E8:F8"/>
    <mergeCell ref="H8:I8"/>
    <mergeCell ref="K8:L8"/>
    <mergeCell ref="N8:O8"/>
    <mergeCell ref="Q8:R8"/>
    <mergeCell ref="B9:C9"/>
    <mergeCell ref="E9:F9"/>
    <mergeCell ref="H9:I9"/>
    <mergeCell ref="K9:L9"/>
    <mergeCell ref="N9:O9"/>
    <mergeCell ref="Q9:R9"/>
    <mergeCell ref="B12:J12"/>
    <mergeCell ref="K12:S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3" min="10" style="0" width="12"/>
    <col collapsed="false" customWidth="true" hidden="false" outlineLevel="0" max="14" min="14" style="0" width="10"/>
    <col collapsed="false" customWidth="true" hidden="false" outlineLevel="0" max="15" min="15" style="0" width="15"/>
    <col collapsed="false" customWidth="true" hidden="false" outlineLevel="0" max="16" min="16" style="0" width="18"/>
  </cols>
  <sheetData>
    <row r="1" customFormat="false" ht="39.75" hidden="false" customHeight="true" outlineLevel="0" collapsed="false">
      <c r="A1" s="43" t="s">
        <v>57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customFormat="false" ht="18" hidden="false" customHeight="true" outlineLevel="0" collapsed="false">
      <c r="A2" s="44" t="s">
        <v>58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</row>
    <row r="3" customFormat="false" ht="19.5" hidden="false" customHeight="true" outlineLevel="0" collapsed="false">
      <c r="A3" s="45" t="s">
        <v>59</v>
      </c>
      <c r="B3" s="45" t="s">
        <v>60</v>
      </c>
      <c r="C3" s="45" t="s">
        <v>61</v>
      </c>
      <c r="D3" s="45" t="s">
        <v>62</v>
      </c>
      <c r="E3" s="45" t="s">
        <v>63</v>
      </c>
      <c r="F3" s="45" t="s">
        <v>64</v>
      </c>
      <c r="G3" s="45" t="s">
        <v>65</v>
      </c>
      <c r="H3" s="45" t="s">
        <v>66</v>
      </c>
      <c r="I3" s="45" t="s">
        <v>67</v>
      </c>
      <c r="J3" s="45" t="s">
        <v>68</v>
      </c>
      <c r="K3" s="45" t="s">
        <v>69</v>
      </c>
      <c r="L3" s="45" t="s">
        <v>70</v>
      </c>
      <c r="M3" s="45" t="s">
        <v>71</v>
      </c>
      <c r="N3" s="45" t="s">
        <v>72</v>
      </c>
      <c r="O3" s="45" t="s">
        <v>73</v>
      </c>
      <c r="P3" s="45" t="s">
        <v>74</v>
      </c>
    </row>
    <row r="4" customFormat="false" ht="15.75" hidden="false" customHeight="true" outlineLevel="0" collapsed="false">
      <c r="A4" s="46" t="s">
        <v>75</v>
      </c>
      <c r="B4" s="47" t="s">
        <v>76</v>
      </c>
      <c r="C4" s="46" t="s">
        <v>77</v>
      </c>
      <c r="D4" s="46" t="s">
        <v>78</v>
      </c>
      <c r="E4" s="46" t="s">
        <v>79</v>
      </c>
      <c r="F4" s="48" t="s">
        <v>80</v>
      </c>
      <c r="G4" s="49" t="s">
        <v>81</v>
      </c>
      <c r="H4" s="46" t="s">
        <v>82</v>
      </c>
      <c r="I4" s="46" t="s">
        <v>83</v>
      </c>
      <c r="J4" s="46" t="s">
        <v>84</v>
      </c>
      <c r="K4" s="46" t="s">
        <v>85</v>
      </c>
      <c r="L4" s="46" t="s">
        <v>86</v>
      </c>
      <c r="M4" s="46" t="s">
        <v>87</v>
      </c>
      <c r="N4" s="46" t="s">
        <v>88</v>
      </c>
      <c r="O4" s="46" t="s">
        <v>89</v>
      </c>
      <c r="P4" s="46" t="s">
        <v>90</v>
      </c>
    </row>
    <row r="5" customFormat="false" ht="15.75" hidden="false" customHeight="true" outlineLevel="0" collapsed="false">
      <c r="A5" s="50" t="s">
        <v>91</v>
      </c>
      <c r="B5" s="51" t="s">
        <v>92</v>
      </c>
      <c r="C5" s="50" t="s">
        <v>93</v>
      </c>
      <c r="D5" s="50" t="s">
        <v>94</v>
      </c>
      <c r="E5" s="50" t="s">
        <v>95</v>
      </c>
      <c r="F5" s="48" t="s">
        <v>80</v>
      </c>
      <c r="G5" s="52" t="s">
        <v>96</v>
      </c>
      <c r="H5" s="50" t="s">
        <v>97</v>
      </c>
      <c r="I5" s="50" t="s">
        <v>98</v>
      </c>
      <c r="J5" s="50" t="s">
        <v>99</v>
      </c>
      <c r="K5" s="50" t="s">
        <v>100</v>
      </c>
      <c r="L5" s="50" t="s">
        <v>101</v>
      </c>
      <c r="M5" s="50" t="s">
        <v>102</v>
      </c>
      <c r="N5" s="50" t="s">
        <v>88</v>
      </c>
      <c r="O5" s="50" t="s">
        <v>89</v>
      </c>
      <c r="P5" s="50" t="s">
        <v>90</v>
      </c>
    </row>
    <row r="6" customFormat="false" ht="15.75" hidden="false" customHeight="true" outlineLevel="0" collapsed="false">
      <c r="A6" s="46" t="s">
        <v>103</v>
      </c>
      <c r="B6" s="47" t="s">
        <v>104</v>
      </c>
      <c r="C6" s="46" t="s">
        <v>105</v>
      </c>
      <c r="D6" s="46" t="s">
        <v>106</v>
      </c>
      <c r="E6" s="46" t="s">
        <v>107</v>
      </c>
      <c r="F6" s="53" t="s">
        <v>108</v>
      </c>
      <c r="G6" s="54" t="s">
        <v>48</v>
      </c>
      <c r="H6" s="46" t="s">
        <v>109</v>
      </c>
      <c r="I6" s="46" t="s">
        <v>110</v>
      </c>
      <c r="J6" s="46" t="s">
        <v>111</v>
      </c>
      <c r="K6" s="46" t="s">
        <v>112</v>
      </c>
      <c r="L6" s="46" t="s">
        <v>113</v>
      </c>
      <c r="M6" s="46" t="s">
        <v>114</v>
      </c>
      <c r="N6" s="46" t="s">
        <v>88</v>
      </c>
      <c r="O6" s="46" t="s">
        <v>89</v>
      </c>
      <c r="P6" s="46" t="s">
        <v>90</v>
      </c>
    </row>
    <row r="7" customFormat="false" ht="15.75" hidden="false" customHeight="true" outlineLevel="0" collapsed="false">
      <c r="A7" s="50" t="s">
        <v>115</v>
      </c>
      <c r="B7" s="51" t="s">
        <v>116</v>
      </c>
      <c r="C7" s="50" t="s">
        <v>117</v>
      </c>
      <c r="D7" s="50" t="s">
        <v>118</v>
      </c>
      <c r="E7" s="50" t="s">
        <v>119</v>
      </c>
      <c r="F7" s="48" t="s">
        <v>80</v>
      </c>
      <c r="G7" s="49" t="s">
        <v>81</v>
      </c>
      <c r="H7" s="50" t="s">
        <v>120</v>
      </c>
      <c r="I7" s="50" t="s">
        <v>121</v>
      </c>
      <c r="J7" s="50" t="s">
        <v>122</v>
      </c>
      <c r="K7" s="50" t="s">
        <v>123</v>
      </c>
      <c r="L7" s="50" t="s">
        <v>124</v>
      </c>
      <c r="M7" s="50" t="s">
        <v>125</v>
      </c>
      <c r="N7" s="50" t="s">
        <v>88</v>
      </c>
      <c r="O7" s="50" t="s">
        <v>89</v>
      </c>
      <c r="P7" s="50" t="s">
        <v>126</v>
      </c>
    </row>
    <row r="8" customFormat="false" ht="15.75" hidden="false" customHeight="true" outlineLevel="0" collapsed="false">
      <c r="A8" s="46" t="s">
        <v>127</v>
      </c>
      <c r="B8" s="47" t="s">
        <v>128</v>
      </c>
      <c r="C8" s="46" t="s">
        <v>129</v>
      </c>
      <c r="D8" s="46" t="s">
        <v>130</v>
      </c>
      <c r="E8" s="46" t="s">
        <v>131</v>
      </c>
      <c r="F8" s="55" t="s">
        <v>132</v>
      </c>
      <c r="G8" s="49" t="s">
        <v>81</v>
      </c>
      <c r="H8" s="46" t="s">
        <v>133</v>
      </c>
      <c r="I8" s="46" t="s">
        <v>134</v>
      </c>
      <c r="J8" s="46" t="s">
        <v>135</v>
      </c>
      <c r="K8" s="46" t="s">
        <v>136</v>
      </c>
      <c r="L8" s="46" t="s">
        <v>137</v>
      </c>
      <c r="M8" s="46" t="s">
        <v>138</v>
      </c>
      <c r="N8" s="56" t="s">
        <v>139</v>
      </c>
      <c r="O8" s="46" t="s">
        <v>89</v>
      </c>
      <c r="P8" s="46" t="s">
        <v>140</v>
      </c>
    </row>
    <row r="9" customFormat="false" ht="15.75" hidden="false" customHeight="true" outlineLevel="0" collapsed="false">
      <c r="A9" s="50" t="s">
        <v>141</v>
      </c>
      <c r="B9" s="51" t="s">
        <v>142</v>
      </c>
      <c r="C9" s="50" t="s">
        <v>143</v>
      </c>
      <c r="D9" s="50" t="s">
        <v>144</v>
      </c>
      <c r="E9" s="50" t="s">
        <v>79</v>
      </c>
      <c r="F9" s="53" t="s">
        <v>108</v>
      </c>
      <c r="G9" s="49" t="s">
        <v>81</v>
      </c>
      <c r="H9" s="50" t="s">
        <v>145</v>
      </c>
      <c r="I9" s="50" t="s">
        <v>146</v>
      </c>
      <c r="J9" s="50" t="s">
        <v>147</v>
      </c>
      <c r="K9" s="50" t="s">
        <v>148</v>
      </c>
      <c r="L9" s="50" t="s">
        <v>149</v>
      </c>
      <c r="M9" s="50" t="s">
        <v>150</v>
      </c>
      <c r="N9" s="50" t="s">
        <v>88</v>
      </c>
      <c r="O9" s="50" t="s">
        <v>89</v>
      </c>
      <c r="P9" s="50" t="s">
        <v>151</v>
      </c>
    </row>
    <row r="10" customFormat="false" ht="15.75" hidden="false" customHeight="true" outlineLevel="0" collapsed="false">
      <c r="A10" s="46" t="s">
        <v>152</v>
      </c>
      <c r="B10" s="47" t="s">
        <v>153</v>
      </c>
      <c r="C10" s="46" t="s">
        <v>154</v>
      </c>
      <c r="D10" s="46" t="s">
        <v>155</v>
      </c>
      <c r="E10" s="46" t="s">
        <v>95</v>
      </c>
      <c r="F10" s="48" t="s">
        <v>80</v>
      </c>
      <c r="G10" s="52" t="s">
        <v>96</v>
      </c>
      <c r="H10" s="46" t="s">
        <v>156</v>
      </c>
      <c r="I10" s="46" t="s">
        <v>157</v>
      </c>
      <c r="J10" s="46" t="s">
        <v>158</v>
      </c>
      <c r="K10" s="46" t="s">
        <v>159</v>
      </c>
      <c r="L10" s="46" t="s">
        <v>160</v>
      </c>
      <c r="M10" s="46" t="s">
        <v>161</v>
      </c>
      <c r="N10" s="46" t="s">
        <v>88</v>
      </c>
      <c r="O10" s="46" t="s">
        <v>89</v>
      </c>
      <c r="P10" s="46" t="s">
        <v>162</v>
      </c>
    </row>
    <row r="11" customFormat="false" ht="15.75" hidden="false" customHeight="true" outlineLevel="0" collapsed="false">
      <c r="A11" s="50" t="s">
        <v>163</v>
      </c>
      <c r="B11" s="51" t="s">
        <v>164</v>
      </c>
      <c r="C11" s="50" t="s">
        <v>165</v>
      </c>
      <c r="D11" s="50" t="s">
        <v>94</v>
      </c>
      <c r="E11" s="50" t="s">
        <v>107</v>
      </c>
      <c r="F11" s="48" t="s">
        <v>80</v>
      </c>
      <c r="G11" s="49" t="s">
        <v>81</v>
      </c>
      <c r="H11" s="50" t="s">
        <v>166</v>
      </c>
      <c r="I11" s="50" t="s">
        <v>167</v>
      </c>
      <c r="J11" s="50" t="s">
        <v>168</v>
      </c>
      <c r="K11" s="50" t="s">
        <v>169</v>
      </c>
      <c r="L11" s="50" t="s">
        <v>170</v>
      </c>
      <c r="M11" s="50" t="s">
        <v>171</v>
      </c>
      <c r="N11" s="56" t="s">
        <v>139</v>
      </c>
      <c r="O11" s="50" t="s">
        <v>89</v>
      </c>
      <c r="P11" s="50" t="s">
        <v>90</v>
      </c>
    </row>
    <row r="12" customFormat="false" ht="15.75" hidden="false" customHeight="true" outlineLevel="0" collapsed="false">
      <c r="A12" s="46" t="s">
        <v>172</v>
      </c>
      <c r="B12" s="47" t="s">
        <v>173</v>
      </c>
      <c r="C12" s="46" t="s">
        <v>174</v>
      </c>
      <c r="D12" s="46" t="s">
        <v>175</v>
      </c>
      <c r="E12" s="46" t="s">
        <v>119</v>
      </c>
      <c r="F12" s="53" t="s">
        <v>108</v>
      </c>
      <c r="G12" s="54" t="s">
        <v>48</v>
      </c>
      <c r="H12" s="46" t="s">
        <v>82</v>
      </c>
      <c r="I12" s="46" t="s">
        <v>176</v>
      </c>
      <c r="J12" s="46" t="s">
        <v>177</v>
      </c>
      <c r="K12" s="46" t="s">
        <v>178</v>
      </c>
      <c r="L12" s="46" t="s">
        <v>179</v>
      </c>
      <c r="M12" s="46" t="s">
        <v>180</v>
      </c>
      <c r="N12" s="46" t="s">
        <v>88</v>
      </c>
      <c r="O12" s="46" t="s">
        <v>89</v>
      </c>
      <c r="P12" s="46" t="s">
        <v>90</v>
      </c>
    </row>
    <row r="13" customFormat="false" ht="15.75" hidden="false" customHeight="true" outlineLevel="0" collapsed="false">
      <c r="A13" s="50" t="s">
        <v>181</v>
      </c>
      <c r="B13" s="51" t="s">
        <v>182</v>
      </c>
      <c r="C13" s="50" t="s">
        <v>183</v>
      </c>
      <c r="D13" s="50" t="s">
        <v>184</v>
      </c>
      <c r="E13" s="50" t="s">
        <v>131</v>
      </c>
      <c r="F13" s="55" t="s">
        <v>132</v>
      </c>
      <c r="G13" s="49" t="s">
        <v>81</v>
      </c>
      <c r="H13" s="50" t="s">
        <v>97</v>
      </c>
      <c r="I13" s="50" t="s">
        <v>185</v>
      </c>
      <c r="J13" s="50" t="s">
        <v>186</v>
      </c>
      <c r="K13" s="50" t="s">
        <v>187</v>
      </c>
      <c r="L13" s="50" t="s">
        <v>188</v>
      </c>
      <c r="M13" s="50" t="s">
        <v>189</v>
      </c>
      <c r="N13" s="50" t="s">
        <v>88</v>
      </c>
      <c r="O13" s="50" t="s">
        <v>89</v>
      </c>
      <c r="P13" s="50" t="s">
        <v>90</v>
      </c>
    </row>
    <row r="14" customFormat="false" ht="15.75" hidden="false" customHeight="true" outlineLevel="0" collapsed="false">
      <c r="A14" s="46" t="s">
        <v>190</v>
      </c>
      <c r="B14" s="47" t="s">
        <v>191</v>
      </c>
      <c r="C14" s="46" t="s">
        <v>192</v>
      </c>
      <c r="D14" s="46" t="s">
        <v>193</v>
      </c>
      <c r="E14" s="46" t="s">
        <v>79</v>
      </c>
      <c r="F14" s="53" t="s">
        <v>108</v>
      </c>
      <c r="G14" s="49" t="s">
        <v>81</v>
      </c>
      <c r="H14" s="46" t="s">
        <v>109</v>
      </c>
      <c r="I14" s="46" t="s">
        <v>194</v>
      </c>
      <c r="J14" s="46" t="s">
        <v>195</v>
      </c>
      <c r="K14" s="46" t="s">
        <v>196</v>
      </c>
      <c r="L14" s="46" t="s">
        <v>197</v>
      </c>
      <c r="M14" s="46" t="s">
        <v>198</v>
      </c>
      <c r="N14" s="46" t="s">
        <v>88</v>
      </c>
      <c r="O14" s="46" t="s">
        <v>89</v>
      </c>
      <c r="P14" s="46" t="s">
        <v>126</v>
      </c>
    </row>
    <row r="15" customFormat="false" ht="15.75" hidden="false" customHeight="true" outlineLevel="0" collapsed="false">
      <c r="A15" s="50" t="s">
        <v>199</v>
      </c>
      <c r="B15" s="51" t="s">
        <v>200</v>
      </c>
      <c r="C15" s="50" t="s">
        <v>201</v>
      </c>
      <c r="D15" s="50" t="s">
        <v>202</v>
      </c>
      <c r="E15" s="50" t="s">
        <v>95</v>
      </c>
      <c r="F15" s="48" t="s">
        <v>80</v>
      </c>
      <c r="G15" s="49" t="s">
        <v>81</v>
      </c>
      <c r="H15" s="50" t="s">
        <v>120</v>
      </c>
      <c r="I15" s="50" t="s">
        <v>203</v>
      </c>
      <c r="J15" s="50" t="s">
        <v>204</v>
      </c>
      <c r="K15" s="50" t="s">
        <v>205</v>
      </c>
      <c r="L15" s="50" t="s">
        <v>206</v>
      </c>
      <c r="M15" s="50" t="s">
        <v>207</v>
      </c>
      <c r="N15" s="50" t="s">
        <v>88</v>
      </c>
      <c r="O15" s="50" t="s">
        <v>89</v>
      </c>
      <c r="P15" s="50" t="s">
        <v>140</v>
      </c>
    </row>
    <row r="16" customFormat="false" ht="15.75" hidden="false" customHeight="true" outlineLevel="0" collapsed="false">
      <c r="A16" s="46" t="s">
        <v>208</v>
      </c>
      <c r="B16" s="47" t="s">
        <v>209</v>
      </c>
      <c r="C16" s="46" t="s">
        <v>210</v>
      </c>
      <c r="D16" s="46" t="s">
        <v>211</v>
      </c>
      <c r="E16" s="46" t="s">
        <v>107</v>
      </c>
      <c r="F16" s="55" t="s">
        <v>132</v>
      </c>
      <c r="G16" s="49" t="s">
        <v>81</v>
      </c>
      <c r="H16" s="46" t="s">
        <v>133</v>
      </c>
      <c r="I16" s="46" t="s">
        <v>212</v>
      </c>
      <c r="J16" s="46" t="s">
        <v>84</v>
      </c>
      <c r="K16" s="46" t="s">
        <v>213</v>
      </c>
      <c r="L16" s="46" t="s">
        <v>214</v>
      </c>
      <c r="M16" s="46" t="s">
        <v>215</v>
      </c>
      <c r="N16" s="56" t="s">
        <v>139</v>
      </c>
      <c r="O16" s="46" t="s">
        <v>89</v>
      </c>
      <c r="P16" s="46" t="s">
        <v>151</v>
      </c>
    </row>
    <row r="17" customFormat="false" ht="15.75" hidden="false" customHeight="true" outlineLevel="0" collapsed="false">
      <c r="A17" s="50" t="s">
        <v>216</v>
      </c>
      <c r="B17" s="51" t="s">
        <v>217</v>
      </c>
      <c r="C17" s="50" t="s">
        <v>218</v>
      </c>
      <c r="D17" s="50" t="s">
        <v>219</v>
      </c>
      <c r="E17" s="50" t="s">
        <v>119</v>
      </c>
      <c r="F17" s="48" t="s">
        <v>80</v>
      </c>
      <c r="G17" s="49" t="s">
        <v>81</v>
      </c>
      <c r="H17" s="50" t="s">
        <v>145</v>
      </c>
      <c r="I17" s="50" t="s">
        <v>220</v>
      </c>
      <c r="J17" s="50" t="s">
        <v>99</v>
      </c>
      <c r="K17" s="50" t="s">
        <v>221</v>
      </c>
      <c r="L17" s="50" t="s">
        <v>222</v>
      </c>
      <c r="M17" s="50" t="s">
        <v>223</v>
      </c>
      <c r="N17" s="50" t="s">
        <v>88</v>
      </c>
      <c r="O17" s="50" t="s">
        <v>89</v>
      </c>
      <c r="P17" s="50" t="s">
        <v>162</v>
      </c>
    </row>
    <row r="18" customFormat="false" ht="15.75" hidden="false" customHeight="true" outlineLevel="0" collapsed="false">
      <c r="A18" s="46" t="s">
        <v>224</v>
      </c>
      <c r="B18" s="47" t="s">
        <v>225</v>
      </c>
      <c r="C18" s="46" t="s">
        <v>226</v>
      </c>
      <c r="D18" s="46" t="s">
        <v>227</v>
      </c>
      <c r="E18" s="46" t="s">
        <v>131</v>
      </c>
      <c r="F18" s="53" t="s">
        <v>108</v>
      </c>
      <c r="G18" s="54" t="s">
        <v>48</v>
      </c>
      <c r="H18" s="46" t="s">
        <v>156</v>
      </c>
      <c r="I18" s="46" t="s">
        <v>228</v>
      </c>
      <c r="J18" s="46" t="s">
        <v>111</v>
      </c>
      <c r="K18" s="46" t="s">
        <v>229</v>
      </c>
      <c r="L18" s="46" t="s">
        <v>230</v>
      </c>
      <c r="M18" s="46" t="s">
        <v>231</v>
      </c>
      <c r="N18" s="46" t="s">
        <v>88</v>
      </c>
      <c r="O18" s="46" t="s">
        <v>89</v>
      </c>
      <c r="P18" s="46" t="s">
        <v>90</v>
      </c>
    </row>
    <row r="19" customFormat="false" ht="15.75" hidden="false" customHeight="true" outlineLevel="0" collapsed="false">
      <c r="A19" s="50" t="s">
        <v>232</v>
      </c>
      <c r="B19" s="51" t="s">
        <v>233</v>
      </c>
      <c r="C19" s="50" t="s">
        <v>234</v>
      </c>
      <c r="D19" s="50" t="s">
        <v>235</v>
      </c>
      <c r="E19" s="50" t="s">
        <v>79</v>
      </c>
      <c r="F19" s="55" t="s">
        <v>132</v>
      </c>
      <c r="G19" s="49" t="s">
        <v>81</v>
      </c>
      <c r="H19" s="50" t="s">
        <v>166</v>
      </c>
      <c r="I19" s="50" t="s">
        <v>236</v>
      </c>
      <c r="J19" s="50" t="s">
        <v>122</v>
      </c>
      <c r="K19" s="50" t="s">
        <v>237</v>
      </c>
      <c r="L19" s="50" t="s">
        <v>238</v>
      </c>
      <c r="M19" s="50" t="s">
        <v>239</v>
      </c>
      <c r="N19" s="50" t="s">
        <v>88</v>
      </c>
      <c r="O19" s="50" t="s">
        <v>89</v>
      </c>
      <c r="P19" s="50" t="s">
        <v>90</v>
      </c>
    </row>
    <row r="20" customFormat="false" ht="15.75" hidden="false" customHeight="true" outlineLevel="0" collapsed="false">
      <c r="A20" s="46" t="s">
        <v>240</v>
      </c>
      <c r="B20" s="47" t="s">
        <v>241</v>
      </c>
      <c r="C20" s="46" t="s">
        <v>242</v>
      </c>
      <c r="D20" s="46" t="s">
        <v>118</v>
      </c>
      <c r="E20" s="46" t="s">
        <v>95</v>
      </c>
      <c r="F20" s="48" t="s">
        <v>80</v>
      </c>
      <c r="G20" s="57" t="s">
        <v>243</v>
      </c>
      <c r="H20" s="46" t="s">
        <v>82</v>
      </c>
      <c r="I20" s="46" t="s">
        <v>244</v>
      </c>
      <c r="J20" s="46" t="s">
        <v>135</v>
      </c>
      <c r="K20" s="46" t="s">
        <v>245</v>
      </c>
      <c r="L20" s="46" t="s">
        <v>246</v>
      </c>
      <c r="M20" s="46" t="s">
        <v>247</v>
      </c>
      <c r="N20" s="46" t="s">
        <v>88</v>
      </c>
      <c r="O20" s="46" t="s">
        <v>89</v>
      </c>
      <c r="P20" s="46" t="s">
        <v>90</v>
      </c>
    </row>
    <row r="21" customFormat="false" ht="15.75" hidden="false" customHeight="true" outlineLevel="0" collapsed="false">
      <c r="A21" s="50" t="s">
        <v>248</v>
      </c>
      <c r="B21" s="51" t="s">
        <v>249</v>
      </c>
      <c r="C21" s="50" t="s">
        <v>250</v>
      </c>
      <c r="D21" s="50" t="s">
        <v>251</v>
      </c>
      <c r="E21" s="50" t="s">
        <v>107</v>
      </c>
      <c r="F21" s="53" t="s">
        <v>108</v>
      </c>
      <c r="G21" s="54" t="s">
        <v>48</v>
      </c>
      <c r="H21" s="50" t="s">
        <v>97</v>
      </c>
      <c r="I21" s="50" t="s">
        <v>252</v>
      </c>
      <c r="J21" s="50" t="s">
        <v>147</v>
      </c>
      <c r="K21" s="50" t="s">
        <v>253</v>
      </c>
      <c r="L21" s="50" t="s">
        <v>254</v>
      </c>
      <c r="M21" s="50" t="s">
        <v>255</v>
      </c>
      <c r="N21" s="50" t="s">
        <v>88</v>
      </c>
      <c r="O21" s="50" t="s">
        <v>89</v>
      </c>
      <c r="P21" s="50" t="s">
        <v>126</v>
      </c>
    </row>
    <row r="22" customFormat="false" ht="15.75" hidden="false" customHeight="true" outlineLevel="0" collapsed="false">
      <c r="A22" s="46" t="s">
        <v>256</v>
      </c>
      <c r="B22" s="47" t="s">
        <v>257</v>
      </c>
      <c r="C22" s="46" t="s">
        <v>258</v>
      </c>
      <c r="D22" s="46" t="s">
        <v>259</v>
      </c>
      <c r="E22" s="46" t="s">
        <v>119</v>
      </c>
      <c r="F22" s="53" t="s">
        <v>108</v>
      </c>
      <c r="G22" s="52" t="s">
        <v>96</v>
      </c>
      <c r="H22" s="46" t="s">
        <v>109</v>
      </c>
      <c r="I22" s="46" t="s">
        <v>260</v>
      </c>
      <c r="J22" s="46" t="s">
        <v>158</v>
      </c>
      <c r="K22" s="46" t="s">
        <v>261</v>
      </c>
      <c r="L22" s="46" t="s">
        <v>262</v>
      </c>
      <c r="M22" s="46" t="s">
        <v>263</v>
      </c>
      <c r="N22" s="46" t="s">
        <v>88</v>
      </c>
      <c r="O22" s="46" t="s">
        <v>89</v>
      </c>
      <c r="P22" s="46" t="s">
        <v>140</v>
      </c>
    </row>
    <row r="23" customFormat="false" ht="15.75" hidden="false" customHeight="true" outlineLevel="0" collapsed="false">
      <c r="A23" s="50" t="s">
        <v>264</v>
      </c>
      <c r="B23" s="51" t="s">
        <v>265</v>
      </c>
      <c r="C23" s="50" t="s">
        <v>266</v>
      </c>
      <c r="D23" s="50" t="s">
        <v>267</v>
      </c>
      <c r="E23" s="50" t="s">
        <v>131</v>
      </c>
      <c r="F23" s="48" t="s">
        <v>80</v>
      </c>
      <c r="G23" s="54" t="s">
        <v>48</v>
      </c>
      <c r="H23" s="50" t="s">
        <v>120</v>
      </c>
      <c r="I23" s="50" t="s">
        <v>268</v>
      </c>
      <c r="J23" s="50" t="s">
        <v>168</v>
      </c>
      <c r="K23" s="50" t="s">
        <v>269</v>
      </c>
      <c r="L23" s="50" t="s">
        <v>270</v>
      </c>
      <c r="M23" s="50" t="s">
        <v>271</v>
      </c>
      <c r="N23" s="50" t="s">
        <v>88</v>
      </c>
      <c r="O23" s="50" t="s">
        <v>89</v>
      </c>
      <c r="P23" s="50" t="s">
        <v>151</v>
      </c>
    </row>
    <row r="24" customFormat="false" ht="15.75" hidden="false" customHeight="true" outlineLevel="0" collapsed="false">
      <c r="A24" s="46" t="s">
        <v>272</v>
      </c>
      <c r="B24" s="47" t="s">
        <v>273</v>
      </c>
      <c r="C24" s="46" t="s">
        <v>274</v>
      </c>
      <c r="D24" s="46" t="s">
        <v>78</v>
      </c>
      <c r="E24" s="46" t="s">
        <v>79</v>
      </c>
      <c r="F24" s="55" t="s">
        <v>132</v>
      </c>
      <c r="G24" s="52" t="s">
        <v>96</v>
      </c>
      <c r="H24" s="46" t="s">
        <v>133</v>
      </c>
      <c r="I24" s="46" t="s">
        <v>275</v>
      </c>
      <c r="J24" s="46" t="s">
        <v>177</v>
      </c>
      <c r="K24" s="46" t="s">
        <v>276</v>
      </c>
      <c r="L24" s="46" t="s">
        <v>277</v>
      </c>
      <c r="M24" s="46" t="s">
        <v>278</v>
      </c>
      <c r="N24" s="56" t="s">
        <v>139</v>
      </c>
      <c r="O24" s="46" t="s">
        <v>89</v>
      </c>
      <c r="P24" s="46" t="s">
        <v>162</v>
      </c>
    </row>
    <row r="25" customFormat="false" ht="15.75" hidden="false" customHeight="true" outlineLevel="0" collapsed="false">
      <c r="A25" s="50" t="s">
        <v>279</v>
      </c>
      <c r="B25" s="51" t="s">
        <v>280</v>
      </c>
      <c r="C25" s="50" t="s">
        <v>281</v>
      </c>
      <c r="D25" s="50" t="s">
        <v>282</v>
      </c>
      <c r="E25" s="50" t="s">
        <v>95</v>
      </c>
      <c r="F25" s="48" t="s">
        <v>80</v>
      </c>
      <c r="G25" s="49" t="s">
        <v>81</v>
      </c>
      <c r="H25" s="50" t="s">
        <v>145</v>
      </c>
      <c r="I25" s="50" t="s">
        <v>283</v>
      </c>
      <c r="J25" s="50" t="s">
        <v>186</v>
      </c>
      <c r="K25" s="50" t="s">
        <v>284</v>
      </c>
      <c r="L25" s="50" t="s">
        <v>285</v>
      </c>
      <c r="M25" s="50" t="s">
        <v>286</v>
      </c>
      <c r="N25" s="50" t="s">
        <v>88</v>
      </c>
      <c r="O25" s="50" t="s">
        <v>89</v>
      </c>
      <c r="P25" s="50" t="s">
        <v>90</v>
      </c>
    </row>
    <row r="26" customFormat="false" ht="15.75" hidden="false" customHeight="true" outlineLevel="0" collapsed="false">
      <c r="A26" s="46" t="s">
        <v>287</v>
      </c>
      <c r="B26" s="47" t="s">
        <v>288</v>
      </c>
      <c r="C26" s="46" t="s">
        <v>289</v>
      </c>
      <c r="D26" s="46" t="s">
        <v>235</v>
      </c>
      <c r="E26" s="46" t="s">
        <v>107</v>
      </c>
      <c r="F26" s="53" t="s">
        <v>108</v>
      </c>
      <c r="G26" s="49" t="s">
        <v>81</v>
      </c>
      <c r="H26" s="46" t="s">
        <v>156</v>
      </c>
      <c r="I26" s="46" t="s">
        <v>290</v>
      </c>
      <c r="J26" s="46" t="s">
        <v>195</v>
      </c>
      <c r="K26" s="46" t="s">
        <v>291</v>
      </c>
      <c r="L26" s="46" t="s">
        <v>292</v>
      </c>
      <c r="M26" s="46" t="s">
        <v>293</v>
      </c>
      <c r="N26" s="46" t="s">
        <v>88</v>
      </c>
      <c r="O26" s="46" t="s">
        <v>89</v>
      </c>
      <c r="P26" s="46" t="s">
        <v>90</v>
      </c>
    </row>
    <row r="27" customFormat="false" ht="15.75" hidden="false" customHeight="true" outlineLevel="0" collapsed="false">
      <c r="A27" s="50" t="s">
        <v>294</v>
      </c>
      <c r="B27" s="51" t="s">
        <v>295</v>
      </c>
      <c r="C27" s="50" t="s">
        <v>296</v>
      </c>
      <c r="D27" s="50" t="s">
        <v>282</v>
      </c>
      <c r="E27" s="50" t="s">
        <v>119</v>
      </c>
      <c r="F27" s="48" t="s">
        <v>80</v>
      </c>
      <c r="G27" s="57" t="s">
        <v>243</v>
      </c>
      <c r="H27" s="50" t="s">
        <v>166</v>
      </c>
      <c r="I27" s="50" t="s">
        <v>297</v>
      </c>
      <c r="J27" s="50" t="s">
        <v>204</v>
      </c>
      <c r="K27" s="50" t="s">
        <v>298</v>
      </c>
      <c r="L27" s="50" t="s">
        <v>299</v>
      </c>
      <c r="M27" s="50" t="s">
        <v>300</v>
      </c>
      <c r="N27" s="50" t="s">
        <v>88</v>
      </c>
      <c r="O27" s="50" t="s">
        <v>89</v>
      </c>
      <c r="P27" s="50" t="s">
        <v>90</v>
      </c>
    </row>
    <row r="28" customFormat="false" ht="15.75" hidden="false" customHeight="true" outlineLevel="0" collapsed="false">
      <c r="A28" s="46" t="s">
        <v>301</v>
      </c>
      <c r="B28" s="47" t="s">
        <v>302</v>
      </c>
      <c r="C28" s="46" t="s">
        <v>303</v>
      </c>
      <c r="D28" s="46" t="s">
        <v>304</v>
      </c>
      <c r="E28" s="46" t="s">
        <v>131</v>
      </c>
      <c r="F28" s="48" t="s">
        <v>80</v>
      </c>
      <c r="G28" s="57" t="s">
        <v>243</v>
      </c>
      <c r="H28" s="46" t="s">
        <v>82</v>
      </c>
      <c r="I28" s="46" t="s">
        <v>305</v>
      </c>
      <c r="J28" s="46" t="s">
        <v>84</v>
      </c>
      <c r="K28" s="46" t="s">
        <v>306</v>
      </c>
      <c r="L28" s="46" t="s">
        <v>307</v>
      </c>
      <c r="M28" s="46" t="s">
        <v>308</v>
      </c>
      <c r="N28" s="46" t="s">
        <v>88</v>
      </c>
      <c r="O28" s="46" t="s">
        <v>89</v>
      </c>
      <c r="P28" s="46" t="s">
        <v>126</v>
      </c>
    </row>
    <row r="29" customFormat="false" ht="15.75" hidden="false" customHeight="true" outlineLevel="0" collapsed="false">
      <c r="A29" s="50" t="s">
        <v>309</v>
      </c>
      <c r="B29" s="51" t="s">
        <v>310</v>
      </c>
      <c r="C29" s="50" t="s">
        <v>311</v>
      </c>
      <c r="D29" s="50" t="s">
        <v>312</v>
      </c>
      <c r="E29" s="50" t="s">
        <v>79</v>
      </c>
      <c r="F29" s="55" t="s">
        <v>132</v>
      </c>
      <c r="G29" s="49" t="s">
        <v>81</v>
      </c>
      <c r="H29" s="50" t="s">
        <v>97</v>
      </c>
      <c r="I29" s="50" t="s">
        <v>313</v>
      </c>
      <c r="J29" s="50" t="s">
        <v>99</v>
      </c>
      <c r="K29" s="50" t="s">
        <v>314</v>
      </c>
      <c r="L29" s="50" t="s">
        <v>315</v>
      </c>
      <c r="M29" s="50" t="s">
        <v>316</v>
      </c>
      <c r="N29" s="50" t="s">
        <v>88</v>
      </c>
      <c r="O29" s="50" t="s">
        <v>89</v>
      </c>
      <c r="P29" s="50" t="s">
        <v>140</v>
      </c>
    </row>
    <row r="30" customFormat="false" ht="15.75" hidden="false" customHeight="true" outlineLevel="0" collapsed="false">
      <c r="A30" s="46" t="s">
        <v>317</v>
      </c>
      <c r="B30" s="47" t="s">
        <v>318</v>
      </c>
      <c r="C30" s="46" t="s">
        <v>319</v>
      </c>
      <c r="D30" s="46" t="s">
        <v>219</v>
      </c>
      <c r="E30" s="46" t="s">
        <v>95</v>
      </c>
      <c r="F30" s="53" t="s">
        <v>108</v>
      </c>
      <c r="G30" s="52" t="s">
        <v>96</v>
      </c>
      <c r="H30" s="46" t="s">
        <v>109</v>
      </c>
      <c r="I30" s="46" t="s">
        <v>320</v>
      </c>
      <c r="J30" s="46" t="s">
        <v>111</v>
      </c>
      <c r="K30" s="46" t="s">
        <v>321</v>
      </c>
      <c r="L30" s="46" t="s">
        <v>322</v>
      </c>
      <c r="M30" s="46" t="s">
        <v>323</v>
      </c>
      <c r="N30" s="46" t="s">
        <v>88</v>
      </c>
      <c r="O30" s="46" t="s">
        <v>89</v>
      </c>
      <c r="P30" s="46" t="s">
        <v>151</v>
      </c>
    </row>
    <row r="31" customFormat="false" ht="15.75" hidden="false" customHeight="true" outlineLevel="0" collapsed="false">
      <c r="A31" s="50" t="s">
        <v>324</v>
      </c>
      <c r="B31" s="51" t="s">
        <v>325</v>
      </c>
      <c r="C31" s="50" t="s">
        <v>326</v>
      </c>
      <c r="D31" s="50" t="s">
        <v>94</v>
      </c>
      <c r="E31" s="50" t="s">
        <v>107</v>
      </c>
      <c r="F31" s="48" t="s">
        <v>80</v>
      </c>
      <c r="G31" s="54" t="s">
        <v>48</v>
      </c>
      <c r="H31" s="50" t="s">
        <v>120</v>
      </c>
      <c r="I31" s="50" t="s">
        <v>327</v>
      </c>
      <c r="J31" s="50" t="s">
        <v>122</v>
      </c>
      <c r="K31" s="50" t="s">
        <v>328</v>
      </c>
      <c r="L31" s="50" t="s">
        <v>329</v>
      </c>
      <c r="M31" s="50" t="s">
        <v>330</v>
      </c>
      <c r="N31" s="50" t="s">
        <v>88</v>
      </c>
      <c r="O31" s="50" t="s">
        <v>89</v>
      </c>
      <c r="P31" s="50" t="s">
        <v>162</v>
      </c>
    </row>
    <row r="32" customFormat="false" ht="15.75" hidden="false" customHeight="true" outlineLevel="0" collapsed="false">
      <c r="A32" s="46" t="s">
        <v>331</v>
      </c>
      <c r="B32" s="47" t="s">
        <v>332</v>
      </c>
      <c r="C32" s="46" t="s">
        <v>333</v>
      </c>
      <c r="D32" s="46" t="s">
        <v>193</v>
      </c>
      <c r="E32" s="46" t="s">
        <v>119</v>
      </c>
      <c r="F32" s="55" t="s">
        <v>132</v>
      </c>
      <c r="G32" s="54" t="s">
        <v>48</v>
      </c>
      <c r="H32" s="46" t="s">
        <v>133</v>
      </c>
      <c r="I32" s="46" t="s">
        <v>334</v>
      </c>
      <c r="J32" s="46" t="s">
        <v>135</v>
      </c>
      <c r="K32" s="46" t="s">
        <v>335</v>
      </c>
      <c r="L32" s="46" t="s">
        <v>336</v>
      </c>
      <c r="M32" s="46" t="s">
        <v>337</v>
      </c>
      <c r="N32" s="46" t="s">
        <v>88</v>
      </c>
      <c r="O32" s="46" t="s">
        <v>89</v>
      </c>
      <c r="P32" s="46" t="s">
        <v>90</v>
      </c>
    </row>
    <row r="33" customFormat="false" ht="15.75" hidden="false" customHeight="true" outlineLevel="0" collapsed="false">
      <c r="A33" s="50" t="s">
        <v>338</v>
      </c>
      <c r="B33" s="51" t="s">
        <v>339</v>
      </c>
      <c r="C33" s="50" t="s">
        <v>340</v>
      </c>
      <c r="D33" s="50" t="s">
        <v>267</v>
      </c>
      <c r="E33" s="50" t="s">
        <v>131</v>
      </c>
      <c r="F33" s="53" t="s">
        <v>108</v>
      </c>
      <c r="G33" s="49" t="s">
        <v>81</v>
      </c>
      <c r="H33" s="50" t="s">
        <v>145</v>
      </c>
      <c r="I33" s="50" t="s">
        <v>341</v>
      </c>
      <c r="J33" s="50" t="s">
        <v>147</v>
      </c>
      <c r="K33" s="50" t="s">
        <v>342</v>
      </c>
      <c r="L33" s="50" t="s">
        <v>343</v>
      </c>
      <c r="M33" s="50" t="s">
        <v>344</v>
      </c>
      <c r="N33" s="50" t="s">
        <v>88</v>
      </c>
      <c r="O33" s="50" t="s">
        <v>89</v>
      </c>
      <c r="P33" s="50" t="s">
        <v>90</v>
      </c>
    </row>
    <row r="34" customFormat="false" ht="15.75" hidden="false" customHeight="true" outlineLevel="0" collapsed="false">
      <c r="A34" s="46" t="s">
        <v>345</v>
      </c>
      <c r="B34" s="47" t="s">
        <v>346</v>
      </c>
      <c r="C34" s="46" t="s">
        <v>347</v>
      </c>
      <c r="D34" s="46" t="s">
        <v>348</v>
      </c>
      <c r="E34" s="46" t="s">
        <v>79</v>
      </c>
      <c r="F34" s="48" t="s">
        <v>80</v>
      </c>
      <c r="G34" s="52" t="s">
        <v>96</v>
      </c>
      <c r="H34" s="46" t="s">
        <v>156</v>
      </c>
      <c r="I34" s="46" t="s">
        <v>349</v>
      </c>
      <c r="J34" s="46" t="s">
        <v>158</v>
      </c>
      <c r="K34" s="46" t="s">
        <v>350</v>
      </c>
      <c r="L34" s="46" t="s">
        <v>351</v>
      </c>
      <c r="M34" s="46" t="s">
        <v>352</v>
      </c>
      <c r="N34" s="46" t="s">
        <v>88</v>
      </c>
      <c r="O34" s="46" t="s">
        <v>89</v>
      </c>
      <c r="P34" s="46" t="s">
        <v>90</v>
      </c>
    </row>
    <row r="35" customFormat="false" ht="15.75" hidden="false" customHeight="true" outlineLevel="0" collapsed="false">
      <c r="A35" s="50" t="s">
        <v>353</v>
      </c>
      <c r="B35" s="51" t="s">
        <v>354</v>
      </c>
      <c r="C35" s="50" t="s">
        <v>355</v>
      </c>
      <c r="D35" s="50" t="s">
        <v>235</v>
      </c>
      <c r="E35" s="50" t="s">
        <v>95</v>
      </c>
      <c r="F35" s="53" t="s">
        <v>108</v>
      </c>
      <c r="G35" s="49" t="s">
        <v>81</v>
      </c>
      <c r="H35" s="50" t="s">
        <v>166</v>
      </c>
      <c r="I35" s="50" t="s">
        <v>356</v>
      </c>
      <c r="J35" s="50" t="s">
        <v>168</v>
      </c>
      <c r="K35" s="50" t="s">
        <v>357</v>
      </c>
      <c r="L35" s="50" t="s">
        <v>358</v>
      </c>
      <c r="M35" s="50" t="s">
        <v>359</v>
      </c>
      <c r="N35" s="50" t="s">
        <v>88</v>
      </c>
      <c r="O35" s="50" t="s">
        <v>89</v>
      </c>
      <c r="P35" s="50" t="s">
        <v>126</v>
      </c>
    </row>
    <row r="36" customFormat="false" ht="15.75" hidden="false" customHeight="true" outlineLevel="0" collapsed="false">
      <c r="A36" s="46" t="s">
        <v>360</v>
      </c>
      <c r="B36" s="47" t="s">
        <v>361</v>
      </c>
      <c r="C36" s="46" t="s">
        <v>362</v>
      </c>
      <c r="D36" s="46" t="s">
        <v>193</v>
      </c>
      <c r="E36" s="46" t="s">
        <v>107</v>
      </c>
      <c r="F36" s="55" t="s">
        <v>132</v>
      </c>
      <c r="G36" s="49" t="s">
        <v>81</v>
      </c>
      <c r="H36" s="46" t="s">
        <v>82</v>
      </c>
      <c r="I36" s="46" t="s">
        <v>363</v>
      </c>
      <c r="J36" s="46" t="s">
        <v>177</v>
      </c>
      <c r="K36" s="46" t="s">
        <v>364</v>
      </c>
      <c r="L36" s="46" t="s">
        <v>365</v>
      </c>
      <c r="M36" s="46" t="s">
        <v>366</v>
      </c>
      <c r="N36" s="46" t="s">
        <v>88</v>
      </c>
      <c r="O36" s="46" t="s">
        <v>89</v>
      </c>
      <c r="P36" s="46" t="s">
        <v>140</v>
      </c>
    </row>
    <row r="37" customFormat="false" ht="15.75" hidden="false" customHeight="true" outlineLevel="0" collapsed="false">
      <c r="A37" s="50" t="s">
        <v>367</v>
      </c>
      <c r="B37" s="51" t="s">
        <v>368</v>
      </c>
      <c r="C37" s="50" t="s">
        <v>369</v>
      </c>
      <c r="D37" s="50" t="s">
        <v>118</v>
      </c>
      <c r="E37" s="50" t="s">
        <v>119</v>
      </c>
      <c r="F37" s="55" t="s">
        <v>132</v>
      </c>
      <c r="G37" s="49" t="s">
        <v>81</v>
      </c>
      <c r="H37" s="50" t="s">
        <v>97</v>
      </c>
      <c r="I37" s="50" t="s">
        <v>370</v>
      </c>
      <c r="J37" s="50" t="s">
        <v>186</v>
      </c>
      <c r="K37" s="50" t="s">
        <v>371</v>
      </c>
      <c r="L37" s="50" t="s">
        <v>372</v>
      </c>
      <c r="M37" s="50" t="s">
        <v>373</v>
      </c>
      <c r="N37" s="50" t="s">
        <v>88</v>
      </c>
      <c r="O37" s="50" t="s">
        <v>89</v>
      </c>
      <c r="P37" s="50" t="s">
        <v>151</v>
      </c>
    </row>
    <row r="38" customFormat="false" ht="15.75" hidden="false" customHeight="true" outlineLevel="0" collapsed="false">
      <c r="A38" s="46" t="s">
        <v>374</v>
      </c>
      <c r="B38" s="47" t="s">
        <v>375</v>
      </c>
      <c r="C38" s="46" t="s">
        <v>376</v>
      </c>
      <c r="D38" s="46" t="s">
        <v>184</v>
      </c>
      <c r="E38" s="46" t="s">
        <v>131</v>
      </c>
      <c r="F38" s="53" t="s">
        <v>108</v>
      </c>
      <c r="G38" s="57" t="s">
        <v>243</v>
      </c>
      <c r="H38" s="46" t="s">
        <v>109</v>
      </c>
      <c r="I38" s="46" t="s">
        <v>377</v>
      </c>
      <c r="J38" s="46" t="s">
        <v>195</v>
      </c>
      <c r="K38" s="46" t="s">
        <v>378</v>
      </c>
      <c r="L38" s="46" t="s">
        <v>379</v>
      </c>
      <c r="M38" s="46" t="s">
        <v>380</v>
      </c>
      <c r="N38" s="46" t="s">
        <v>88</v>
      </c>
      <c r="O38" s="46" t="s">
        <v>89</v>
      </c>
      <c r="P38" s="46" t="s">
        <v>162</v>
      </c>
    </row>
    <row r="39" customFormat="false" ht="15.75" hidden="false" customHeight="true" outlineLevel="0" collapsed="false">
      <c r="A39" s="50" t="s">
        <v>381</v>
      </c>
      <c r="B39" s="51" t="s">
        <v>382</v>
      </c>
      <c r="C39" s="50" t="s">
        <v>383</v>
      </c>
      <c r="D39" s="50" t="s">
        <v>219</v>
      </c>
      <c r="E39" s="50" t="s">
        <v>79</v>
      </c>
      <c r="F39" s="48" t="s">
        <v>80</v>
      </c>
      <c r="G39" s="52" t="s">
        <v>96</v>
      </c>
      <c r="H39" s="50" t="s">
        <v>120</v>
      </c>
      <c r="I39" s="50" t="s">
        <v>384</v>
      </c>
      <c r="J39" s="50" t="s">
        <v>204</v>
      </c>
      <c r="K39" s="50" t="s">
        <v>385</v>
      </c>
      <c r="L39" s="50" t="s">
        <v>386</v>
      </c>
      <c r="M39" s="50" t="s">
        <v>387</v>
      </c>
      <c r="N39" s="56" t="s">
        <v>139</v>
      </c>
      <c r="O39" s="50" t="s">
        <v>89</v>
      </c>
      <c r="P39" s="50" t="s">
        <v>90</v>
      </c>
    </row>
    <row r="40" customFormat="false" ht="15.75" hidden="false" customHeight="true" outlineLevel="0" collapsed="false">
      <c r="A40" s="46" t="s">
        <v>388</v>
      </c>
      <c r="B40" s="47" t="s">
        <v>389</v>
      </c>
      <c r="C40" s="46" t="s">
        <v>390</v>
      </c>
      <c r="D40" s="46" t="s">
        <v>184</v>
      </c>
      <c r="E40" s="46" t="s">
        <v>95</v>
      </c>
      <c r="F40" s="55" t="s">
        <v>132</v>
      </c>
      <c r="G40" s="49" t="s">
        <v>81</v>
      </c>
      <c r="H40" s="46" t="s">
        <v>133</v>
      </c>
      <c r="I40" s="46" t="s">
        <v>391</v>
      </c>
      <c r="J40" s="46" t="s">
        <v>84</v>
      </c>
      <c r="K40" s="46" t="s">
        <v>392</v>
      </c>
      <c r="L40" s="46" t="s">
        <v>393</v>
      </c>
      <c r="M40" s="46" t="s">
        <v>394</v>
      </c>
      <c r="N40" s="56" t="s">
        <v>139</v>
      </c>
      <c r="O40" s="46" t="s">
        <v>89</v>
      </c>
      <c r="P40" s="46" t="s">
        <v>90</v>
      </c>
    </row>
    <row r="41" customFormat="false" ht="15.75" hidden="false" customHeight="true" outlineLevel="0" collapsed="false">
      <c r="A41" s="50" t="s">
        <v>395</v>
      </c>
      <c r="B41" s="51" t="s">
        <v>396</v>
      </c>
      <c r="C41" s="50" t="s">
        <v>397</v>
      </c>
      <c r="D41" s="50" t="s">
        <v>251</v>
      </c>
      <c r="E41" s="50" t="s">
        <v>107</v>
      </c>
      <c r="F41" s="53" t="s">
        <v>108</v>
      </c>
      <c r="G41" s="54" t="s">
        <v>48</v>
      </c>
      <c r="H41" s="50" t="s">
        <v>145</v>
      </c>
      <c r="I41" s="50" t="s">
        <v>398</v>
      </c>
      <c r="J41" s="50" t="s">
        <v>99</v>
      </c>
      <c r="K41" s="50" t="s">
        <v>399</v>
      </c>
      <c r="L41" s="50" t="s">
        <v>400</v>
      </c>
      <c r="M41" s="50" t="s">
        <v>401</v>
      </c>
      <c r="N41" s="50" t="s">
        <v>88</v>
      </c>
      <c r="O41" s="50" t="s">
        <v>89</v>
      </c>
      <c r="P41" s="50" t="s">
        <v>90</v>
      </c>
    </row>
    <row r="42" customFormat="false" ht="15.75" hidden="false" customHeight="true" outlineLevel="0" collapsed="false">
      <c r="A42" s="46" t="s">
        <v>402</v>
      </c>
      <c r="B42" s="47" t="s">
        <v>403</v>
      </c>
      <c r="C42" s="46" t="s">
        <v>404</v>
      </c>
      <c r="D42" s="46" t="s">
        <v>405</v>
      </c>
      <c r="E42" s="46" t="s">
        <v>119</v>
      </c>
      <c r="F42" s="48" t="s">
        <v>80</v>
      </c>
      <c r="G42" s="52" t="s">
        <v>96</v>
      </c>
      <c r="H42" s="46" t="s">
        <v>156</v>
      </c>
      <c r="I42" s="46" t="s">
        <v>406</v>
      </c>
      <c r="J42" s="46" t="s">
        <v>111</v>
      </c>
      <c r="K42" s="46" t="s">
        <v>407</v>
      </c>
      <c r="L42" s="46" t="s">
        <v>408</v>
      </c>
      <c r="M42" s="46" t="s">
        <v>409</v>
      </c>
      <c r="N42" s="46" t="s">
        <v>88</v>
      </c>
      <c r="O42" s="46" t="s">
        <v>89</v>
      </c>
      <c r="P42" s="46" t="s">
        <v>126</v>
      </c>
    </row>
    <row r="43" customFormat="false" ht="15.75" hidden="false" customHeight="true" outlineLevel="0" collapsed="false">
      <c r="A43" s="50" t="s">
        <v>410</v>
      </c>
      <c r="B43" s="51" t="s">
        <v>411</v>
      </c>
      <c r="C43" s="50" t="s">
        <v>412</v>
      </c>
      <c r="D43" s="50" t="s">
        <v>267</v>
      </c>
      <c r="E43" s="50" t="s">
        <v>131</v>
      </c>
      <c r="F43" s="48" t="s">
        <v>80</v>
      </c>
      <c r="G43" s="54" t="s">
        <v>48</v>
      </c>
      <c r="H43" s="50" t="s">
        <v>166</v>
      </c>
      <c r="I43" s="50" t="s">
        <v>413</v>
      </c>
      <c r="J43" s="50" t="s">
        <v>122</v>
      </c>
      <c r="K43" s="50" t="s">
        <v>414</v>
      </c>
      <c r="L43" s="50" t="s">
        <v>415</v>
      </c>
      <c r="M43" s="50" t="s">
        <v>416</v>
      </c>
      <c r="N43" s="50" t="s">
        <v>88</v>
      </c>
      <c r="O43" s="50" t="s">
        <v>89</v>
      </c>
      <c r="P43" s="50" t="s">
        <v>140</v>
      </c>
    </row>
    <row r="44" customFormat="false" ht="15.75" hidden="false" customHeight="true" outlineLevel="0" collapsed="false">
      <c r="A44" s="46" t="s">
        <v>417</v>
      </c>
      <c r="B44" s="47" t="s">
        <v>418</v>
      </c>
      <c r="C44" s="46" t="s">
        <v>419</v>
      </c>
      <c r="D44" s="46" t="s">
        <v>94</v>
      </c>
      <c r="E44" s="46" t="s">
        <v>79</v>
      </c>
      <c r="F44" s="53" t="s">
        <v>108</v>
      </c>
      <c r="G44" s="49" t="s">
        <v>81</v>
      </c>
      <c r="H44" s="46" t="s">
        <v>82</v>
      </c>
      <c r="I44" s="46" t="s">
        <v>420</v>
      </c>
      <c r="J44" s="46" t="s">
        <v>135</v>
      </c>
      <c r="K44" s="46" t="s">
        <v>421</v>
      </c>
      <c r="L44" s="46" t="s">
        <v>422</v>
      </c>
      <c r="M44" s="46" t="s">
        <v>423</v>
      </c>
      <c r="N44" s="46" t="s">
        <v>88</v>
      </c>
      <c r="O44" s="46" t="s">
        <v>89</v>
      </c>
      <c r="P44" s="46" t="s">
        <v>151</v>
      </c>
    </row>
    <row r="45" customFormat="false" ht="15.75" hidden="false" customHeight="true" outlineLevel="0" collapsed="false">
      <c r="A45" s="50" t="s">
        <v>424</v>
      </c>
      <c r="B45" s="51" t="s">
        <v>425</v>
      </c>
      <c r="C45" s="50" t="s">
        <v>426</v>
      </c>
      <c r="D45" s="50" t="s">
        <v>282</v>
      </c>
      <c r="E45" s="50" t="s">
        <v>95</v>
      </c>
      <c r="F45" s="48" t="s">
        <v>80</v>
      </c>
      <c r="G45" s="49" t="s">
        <v>81</v>
      </c>
      <c r="H45" s="50" t="s">
        <v>97</v>
      </c>
      <c r="I45" s="50" t="s">
        <v>427</v>
      </c>
      <c r="J45" s="50" t="s">
        <v>147</v>
      </c>
      <c r="K45" s="50" t="s">
        <v>428</v>
      </c>
      <c r="L45" s="50" t="s">
        <v>429</v>
      </c>
      <c r="M45" s="50" t="s">
        <v>430</v>
      </c>
      <c r="N45" s="56" t="s">
        <v>139</v>
      </c>
      <c r="O45" s="50" t="s">
        <v>89</v>
      </c>
      <c r="P45" s="50" t="s">
        <v>162</v>
      </c>
    </row>
    <row r="46" customFormat="false" ht="15.75" hidden="false" customHeight="true" outlineLevel="0" collapsed="false">
      <c r="A46" s="46" t="s">
        <v>431</v>
      </c>
      <c r="B46" s="47" t="s">
        <v>432</v>
      </c>
      <c r="C46" s="46" t="s">
        <v>433</v>
      </c>
      <c r="D46" s="46" t="s">
        <v>434</v>
      </c>
      <c r="E46" s="46" t="s">
        <v>107</v>
      </c>
      <c r="F46" s="55" t="s">
        <v>132</v>
      </c>
      <c r="G46" s="49" t="s">
        <v>81</v>
      </c>
      <c r="H46" s="46" t="s">
        <v>109</v>
      </c>
      <c r="I46" s="46" t="s">
        <v>435</v>
      </c>
      <c r="J46" s="46" t="s">
        <v>158</v>
      </c>
      <c r="K46" s="46" t="s">
        <v>436</v>
      </c>
      <c r="L46" s="46" t="s">
        <v>437</v>
      </c>
      <c r="M46" s="46" t="s">
        <v>438</v>
      </c>
      <c r="N46" s="46" t="s">
        <v>88</v>
      </c>
      <c r="O46" s="46" t="s">
        <v>89</v>
      </c>
      <c r="P46" s="46" t="s">
        <v>90</v>
      </c>
    </row>
    <row r="47" customFormat="false" ht="15.75" hidden="false" customHeight="true" outlineLevel="0" collapsed="false">
      <c r="A47" s="50" t="s">
        <v>439</v>
      </c>
      <c r="B47" s="51" t="s">
        <v>440</v>
      </c>
      <c r="C47" s="50" t="s">
        <v>441</v>
      </c>
      <c r="D47" s="50" t="s">
        <v>118</v>
      </c>
      <c r="E47" s="50" t="s">
        <v>119</v>
      </c>
      <c r="F47" s="53" t="s">
        <v>108</v>
      </c>
      <c r="G47" s="49" t="s">
        <v>81</v>
      </c>
      <c r="H47" s="50" t="s">
        <v>120</v>
      </c>
      <c r="I47" s="50" t="s">
        <v>442</v>
      </c>
      <c r="J47" s="50" t="s">
        <v>168</v>
      </c>
      <c r="K47" s="50" t="s">
        <v>443</v>
      </c>
      <c r="L47" s="50" t="s">
        <v>444</v>
      </c>
      <c r="M47" s="50" t="s">
        <v>445</v>
      </c>
      <c r="N47" s="50" t="s">
        <v>88</v>
      </c>
      <c r="O47" s="50" t="s">
        <v>89</v>
      </c>
      <c r="P47" s="50" t="s">
        <v>90</v>
      </c>
    </row>
    <row r="48" customFormat="false" ht="15.75" hidden="false" customHeight="true" outlineLevel="0" collapsed="false">
      <c r="A48" s="46" t="s">
        <v>446</v>
      </c>
      <c r="B48" s="47" t="s">
        <v>447</v>
      </c>
      <c r="C48" s="46" t="s">
        <v>448</v>
      </c>
      <c r="D48" s="46" t="s">
        <v>193</v>
      </c>
      <c r="E48" s="46" t="s">
        <v>131</v>
      </c>
      <c r="F48" s="55" t="s">
        <v>132</v>
      </c>
      <c r="G48" s="54" t="s">
        <v>48</v>
      </c>
      <c r="H48" s="46" t="s">
        <v>133</v>
      </c>
      <c r="I48" s="46" t="s">
        <v>449</v>
      </c>
      <c r="J48" s="46" t="s">
        <v>177</v>
      </c>
      <c r="K48" s="46" t="s">
        <v>450</v>
      </c>
      <c r="L48" s="46" t="s">
        <v>451</v>
      </c>
      <c r="M48" s="46" t="s">
        <v>452</v>
      </c>
      <c r="N48" s="56" t="s">
        <v>139</v>
      </c>
      <c r="O48" s="46" t="s">
        <v>89</v>
      </c>
      <c r="P48" s="46" t="s">
        <v>90</v>
      </c>
    </row>
    <row r="49" customFormat="false" ht="15.75" hidden="false" customHeight="true" outlineLevel="0" collapsed="false">
      <c r="A49" s="50" t="s">
        <v>453</v>
      </c>
      <c r="B49" s="51" t="s">
        <v>454</v>
      </c>
      <c r="C49" s="50" t="s">
        <v>455</v>
      </c>
      <c r="D49" s="50" t="s">
        <v>211</v>
      </c>
      <c r="E49" s="50" t="s">
        <v>79</v>
      </c>
      <c r="F49" s="48" t="s">
        <v>80</v>
      </c>
      <c r="G49" s="57" t="s">
        <v>243</v>
      </c>
      <c r="H49" s="50" t="s">
        <v>145</v>
      </c>
      <c r="I49" s="50" t="s">
        <v>456</v>
      </c>
      <c r="J49" s="50" t="s">
        <v>186</v>
      </c>
      <c r="K49" s="50" t="s">
        <v>457</v>
      </c>
      <c r="L49" s="50" t="s">
        <v>458</v>
      </c>
      <c r="M49" s="50" t="s">
        <v>459</v>
      </c>
      <c r="N49" s="50" t="s">
        <v>88</v>
      </c>
      <c r="O49" s="50" t="s">
        <v>89</v>
      </c>
      <c r="P49" s="50" t="s">
        <v>126</v>
      </c>
    </row>
    <row r="50" customFormat="false" ht="15.75" hidden="false" customHeight="true" outlineLevel="0" collapsed="false">
      <c r="A50" s="46" t="s">
        <v>460</v>
      </c>
      <c r="B50" s="47" t="s">
        <v>461</v>
      </c>
      <c r="C50" s="46" t="s">
        <v>462</v>
      </c>
      <c r="D50" s="46" t="s">
        <v>463</v>
      </c>
      <c r="E50" s="46" t="s">
        <v>95</v>
      </c>
      <c r="F50" s="53" t="s">
        <v>108</v>
      </c>
      <c r="G50" s="54" t="s">
        <v>48</v>
      </c>
      <c r="H50" s="46" t="s">
        <v>156</v>
      </c>
      <c r="I50" s="46" t="s">
        <v>464</v>
      </c>
      <c r="J50" s="46" t="s">
        <v>195</v>
      </c>
      <c r="K50" s="46" t="s">
        <v>465</v>
      </c>
      <c r="L50" s="46" t="s">
        <v>466</v>
      </c>
      <c r="M50" s="46" t="s">
        <v>467</v>
      </c>
      <c r="N50" s="46" t="s">
        <v>88</v>
      </c>
      <c r="O50" s="46" t="s">
        <v>89</v>
      </c>
      <c r="P50" s="46" t="s">
        <v>140</v>
      </c>
    </row>
    <row r="51" customFormat="false" ht="15.75" hidden="false" customHeight="true" outlineLevel="0" collapsed="false">
      <c r="A51" s="50" t="s">
        <v>468</v>
      </c>
      <c r="B51" s="51" t="s">
        <v>469</v>
      </c>
      <c r="C51" s="50" t="s">
        <v>470</v>
      </c>
      <c r="D51" s="50" t="s">
        <v>193</v>
      </c>
      <c r="E51" s="50" t="s">
        <v>107</v>
      </c>
      <c r="F51" s="55" t="s">
        <v>132</v>
      </c>
      <c r="G51" s="52" t="s">
        <v>96</v>
      </c>
      <c r="H51" s="50" t="s">
        <v>166</v>
      </c>
      <c r="I51" s="50" t="s">
        <v>471</v>
      </c>
      <c r="J51" s="50" t="s">
        <v>204</v>
      </c>
      <c r="K51" s="50" t="s">
        <v>472</v>
      </c>
      <c r="L51" s="50" t="s">
        <v>473</v>
      </c>
      <c r="M51" s="50" t="s">
        <v>474</v>
      </c>
      <c r="N51" s="50" t="s">
        <v>88</v>
      </c>
      <c r="O51" s="50" t="s">
        <v>89</v>
      </c>
      <c r="P51" s="50" t="s">
        <v>151</v>
      </c>
    </row>
    <row r="52" customFormat="false" ht="15.75" hidden="false" customHeight="true" outlineLevel="0" collapsed="false">
      <c r="A52" s="46" t="s">
        <v>475</v>
      </c>
      <c r="B52" s="47" t="s">
        <v>476</v>
      </c>
      <c r="C52" s="46" t="s">
        <v>477</v>
      </c>
      <c r="D52" s="46" t="s">
        <v>94</v>
      </c>
      <c r="E52" s="46" t="s">
        <v>119</v>
      </c>
      <c r="F52" s="48" t="s">
        <v>80</v>
      </c>
      <c r="G52" s="49" t="s">
        <v>81</v>
      </c>
      <c r="H52" s="46" t="s">
        <v>82</v>
      </c>
      <c r="I52" s="46" t="s">
        <v>478</v>
      </c>
      <c r="J52" s="46" t="s">
        <v>84</v>
      </c>
      <c r="K52" s="46" t="s">
        <v>479</v>
      </c>
      <c r="L52" s="46" t="s">
        <v>480</v>
      </c>
      <c r="M52" s="46" t="s">
        <v>481</v>
      </c>
      <c r="N52" s="46" t="s">
        <v>88</v>
      </c>
      <c r="O52" s="46" t="s">
        <v>89</v>
      </c>
      <c r="P52" s="46" t="s">
        <v>162</v>
      </c>
    </row>
    <row r="53" customFormat="false" ht="15.75" hidden="false" customHeight="true" outlineLevel="0" collapsed="false">
      <c r="A53" s="50" t="s">
        <v>482</v>
      </c>
      <c r="B53" s="51" t="s">
        <v>483</v>
      </c>
      <c r="C53" s="50" t="s">
        <v>484</v>
      </c>
      <c r="D53" s="50" t="s">
        <v>193</v>
      </c>
      <c r="E53" s="50" t="s">
        <v>131</v>
      </c>
      <c r="F53" s="53" t="s">
        <v>108</v>
      </c>
      <c r="G53" s="49" t="s">
        <v>81</v>
      </c>
      <c r="H53" s="50" t="s">
        <v>97</v>
      </c>
      <c r="I53" s="50" t="s">
        <v>485</v>
      </c>
      <c r="J53" s="50" t="s">
        <v>99</v>
      </c>
      <c r="K53" s="50" t="s">
        <v>486</v>
      </c>
      <c r="L53" s="50" t="s">
        <v>487</v>
      </c>
      <c r="M53" s="50" t="s">
        <v>488</v>
      </c>
      <c r="N53" s="50" t="s">
        <v>88</v>
      </c>
      <c r="O53" s="50" t="s">
        <v>89</v>
      </c>
      <c r="P53" s="50" t="s">
        <v>90</v>
      </c>
    </row>
    <row r="56" customFormat="false" ht="19.5" hidden="false" customHeight="true" outlineLevel="0" collapsed="false">
      <c r="A56" s="58" t="s">
        <v>489</v>
      </c>
      <c r="B56" s="58"/>
      <c r="C56" s="58"/>
      <c r="D56" s="58"/>
    </row>
    <row r="57" customFormat="false" ht="18" hidden="false" customHeight="true" outlineLevel="0" collapsed="false">
      <c r="A57" s="59" t="s">
        <v>81</v>
      </c>
      <c r="B57" s="59"/>
      <c r="C57" s="59"/>
      <c r="D57" s="60" t="n">
        <f aca="false">COUNTIF(G4:G53,"Verified")</f>
        <v>25</v>
      </c>
    </row>
    <row r="58" customFormat="false" ht="18" hidden="false" customHeight="true" outlineLevel="0" collapsed="false">
      <c r="A58" s="61" t="s">
        <v>243</v>
      </c>
      <c r="B58" s="61"/>
      <c r="C58" s="61"/>
      <c r="D58" s="62" t="n">
        <f aca="false">COUNTIF(G4:G53,"Pending")</f>
        <v>5</v>
      </c>
    </row>
    <row r="59" customFormat="false" ht="18" hidden="false" customHeight="true" outlineLevel="0" collapsed="false">
      <c r="A59" s="63" t="s">
        <v>48</v>
      </c>
      <c r="B59" s="63"/>
      <c r="C59" s="63"/>
      <c r="D59" s="64" t="n">
        <f aca="false">COUNTIF(G4:G53,"Under Review")</f>
        <v>11</v>
      </c>
    </row>
    <row r="60" customFormat="false" ht="18" hidden="false" customHeight="true" outlineLevel="0" collapsed="false">
      <c r="A60" s="65" t="s">
        <v>96</v>
      </c>
      <c r="B60" s="65"/>
      <c r="C60" s="65"/>
      <c r="D60" s="66" t="n">
        <f aca="false">COUNTIF(G4:G53,"Expired")</f>
        <v>9</v>
      </c>
    </row>
    <row r="61" customFormat="false" ht="18" hidden="false" customHeight="true" outlineLevel="0" collapsed="false">
      <c r="A61" s="67" t="s">
        <v>490</v>
      </c>
      <c r="B61" s="67"/>
      <c r="C61" s="67"/>
      <c r="D61" s="68" t="n">
        <f aca="false">COUNTIF(N4:N53,"Yes")</f>
        <v>8</v>
      </c>
    </row>
    <row r="62" customFormat="false" ht="18" hidden="false" customHeight="true" outlineLevel="0" collapsed="false">
      <c r="A62" s="65" t="s">
        <v>491</v>
      </c>
      <c r="B62" s="65"/>
      <c r="C62" s="65"/>
      <c r="D62" s="66" t="n">
        <f aca="false">COUNTIF(O4:O53,"Fail")</f>
        <v>0</v>
      </c>
    </row>
  </sheetData>
  <mergeCells count="9">
    <mergeCell ref="A1:Q1"/>
    <mergeCell ref="A2:Q2"/>
    <mergeCell ref="A56:D56"/>
    <mergeCell ref="A57:C57"/>
    <mergeCell ref="A58:C58"/>
    <mergeCell ref="A59:C59"/>
    <mergeCell ref="A60:C60"/>
    <mergeCell ref="A61:C61"/>
    <mergeCell ref="A62:C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25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2" min="12" style="0" width="30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2"/>
  </cols>
  <sheetData>
    <row r="1" customFormat="false" ht="39.75" hidden="false" customHeight="true" outlineLevel="0" collapsed="false">
      <c r="A1" s="69" t="s">
        <v>492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</row>
    <row r="2" customFormat="false" ht="18" hidden="false" customHeight="true" outlineLevel="0" collapsed="false">
      <c r="A2" s="70" t="s">
        <v>493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</row>
    <row r="3" customFormat="false" ht="19.5" hidden="false" customHeight="true" outlineLevel="0" collapsed="false">
      <c r="A3" s="71" t="s">
        <v>494</v>
      </c>
      <c r="B3" s="71" t="s">
        <v>59</v>
      </c>
      <c r="C3" s="71" t="s">
        <v>495</v>
      </c>
      <c r="D3" s="71" t="s">
        <v>496</v>
      </c>
      <c r="E3" s="71" t="s">
        <v>497</v>
      </c>
      <c r="F3" s="71" t="s">
        <v>498</v>
      </c>
      <c r="G3" s="71" t="s">
        <v>499</v>
      </c>
      <c r="H3" s="71" t="s">
        <v>500</v>
      </c>
      <c r="I3" s="71" t="s">
        <v>501</v>
      </c>
      <c r="J3" s="71" t="s">
        <v>27</v>
      </c>
      <c r="K3" s="71" t="s">
        <v>502</v>
      </c>
      <c r="L3" s="71" t="s">
        <v>503</v>
      </c>
      <c r="M3" s="71" t="s">
        <v>504</v>
      </c>
      <c r="N3" s="71" t="s">
        <v>505</v>
      </c>
      <c r="O3" s="71" t="s">
        <v>506</v>
      </c>
    </row>
    <row r="4" customFormat="false" ht="18" hidden="false" customHeight="true" outlineLevel="0" collapsed="false">
      <c r="A4" s="46" t="s">
        <v>507</v>
      </c>
      <c r="B4" s="46" t="s">
        <v>75</v>
      </c>
      <c r="C4" s="46" t="s">
        <v>508</v>
      </c>
      <c r="D4" s="46" t="s">
        <v>509</v>
      </c>
      <c r="E4" s="46" t="n">
        <v>100000</v>
      </c>
      <c r="F4" s="46" t="s">
        <v>510</v>
      </c>
      <c r="G4" s="53" t="n">
        <v>84</v>
      </c>
      <c r="H4" s="53" t="s">
        <v>132</v>
      </c>
      <c r="I4" s="46" t="s">
        <v>511</v>
      </c>
      <c r="J4" s="52" t="s">
        <v>32</v>
      </c>
      <c r="K4" s="46" t="n">
        <v>884</v>
      </c>
      <c r="L4" s="72" t="s">
        <v>512</v>
      </c>
      <c r="M4" s="46" t="s">
        <v>88</v>
      </c>
      <c r="N4" s="46" t="s">
        <v>243</v>
      </c>
      <c r="O4" s="46"/>
    </row>
    <row r="5" customFormat="false" ht="18" hidden="false" customHeight="true" outlineLevel="0" collapsed="false">
      <c r="A5" s="50" t="s">
        <v>513</v>
      </c>
      <c r="B5" s="50" t="s">
        <v>91</v>
      </c>
      <c r="C5" s="50" t="s">
        <v>514</v>
      </c>
      <c r="D5" s="50" t="s">
        <v>515</v>
      </c>
      <c r="E5" s="50" t="n">
        <v>55000</v>
      </c>
      <c r="F5" s="50" t="s">
        <v>516</v>
      </c>
      <c r="G5" s="53" t="n">
        <v>87</v>
      </c>
      <c r="H5" s="53" t="s">
        <v>132</v>
      </c>
      <c r="I5" s="50" t="s">
        <v>517</v>
      </c>
      <c r="J5" s="57" t="s">
        <v>48</v>
      </c>
      <c r="K5" s="50" t="n">
        <v>852</v>
      </c>
      <c r="L5" s="73" t="s">
        <v>518</v>
      </c>
      <c r="M5" s="50" t="s">
        <v>88</v>
      </c>
      <c r="N5" s="50" t="s">
        <v>519</v>
      </c>
      <c r="O5" s="50"/>
    </row>
    <row r="6" customFormat="false" ht="18" hidden="false" customHeight="true" outlineLevel="0" collapsed="false">
      <c r="A6" s="46" t="s">
        <v>520</v>
      </c>
      <c r="B6" s="46" t="s">
        <v>103</v>
      </c>
      <c r="C6" s="46" t="s">
        <v>521</v>
      </c>
      <c r="D6" s="46" t="s">
        <v>522</v>
      </c>
      <c r="E6" s="46" t="n">
        <v>6000</v>
      </c>
      <c r="F6" s="46" t="s">
        <v>523</v>
      </c>
      <c r="G6" s="48" t="n">
        <v>61</v>
      </c>
      <c r="H6" s="74" t="s">
        <v>108</v>
      </c>
      <c r="I6" s="46" t="s">
        <v>524</v>
      </c>
      <c r="J6" s="52" t="s">
        <v>525</v>
      </c>
      <c r="K6" s="46" t="n">
        <v>822</v>
      </c>
      <c r="L6" s="72" t="s">
        <v>526</v>
      </c>
      <c r="M6" s="46" t="s">
        <v>88</v>
      </c>
      <c r="N6" s="46" t="s">
        <v>504</v>
      </c>
      <c r="O6" s="46"/>
    </row>
    <row r="7" customFormat="false" ht="18" hidden="false" customHeight="true" outlineLevel="0" collapsed="false">
      <c r="A7" s="50" t="s">
        <v>527</v>
      </c>
      <c r="B7" s="50" t="s">
        <v>115</v>
      </c>
      <c r="C7" s="50" t="s">
        <v>528</v>
      </c>
      <c r="D7" s="50" t="s">
        <v>529</v>
      </c>
      <c r="E7" s="50" t="n">
        <v>6000</v>
      </c>
      <c r="F7" s="50" t="s">
        <v>530</v>
      </c>
      <c r="G7" s="55" t="n">
        <v>93</v>
      </c>
      <c r="H7" s="53" t="s">
        <v>132</v>
      </c>
      <c r="I7" s="50" t="s">
        <v>531</v>
      </c>
      <c r="J7" s="49" t="s">
        <v>532</v>
      </c>
      <c r="K7" s="50" t="n">
        <v>27</v>
      </c>
      <c r="L7" s="73" t="s">
        <v>533</v>
      </c>
      <c r="M7" s="50" t="s">
        <v>139</v>
      </c>
      <c r="N7" s="50" t="s">
        <v>534</v>
      </c>
      <c r="O7" s="50" t="s">
        <v>535</v>
      </c>
    </row>
    <row r="8" customFormat="false" ht="18" hidden="false" customHeight="true" outlineLevel="0" collapsed="false">
      <c r="A8" s="46" t="s">
        <v>536</v>
      </c>
      <c r="B8" s="46" t="s">
        <v>127</v>
      </c>
      <c r="C8" s="46" t="s">
        <v>537</v>
      </c>
      <c r="D8" s="46" t="s">
        <v>538</v>
      </c>
      <c r="E8" s="46" t="n">
        <v>12500</v>
      </c>
      <c r="F8" s="46" t="s">
        <v>539</v>
      </c>
      <c r="G8" s="48" t="n">
        <v>65</v>
      </c>
      <c r="H8" s="74" t="s">
        <v>108</v>
      </c>
      <c r="I8" s="46" t="s">
        <v>540</v>
      </c>
      <c r="J8" s="49" t="s">
        <v>541</v>
      </c>
      <c r="K8" s="46" t="n">
        <v>5</v>
      </c>
      <c r="L8" s="72" t="s">
        <v>542</v>
      </c>
      <c r="M8" s="46" t="s">
        <v>88</v>
      </c>
      <c r="N8" s="46" t="s">
        <v>543</v>
      </c>
      <c r="O8" s="46" t="s">
        <v>544</v>
      </c>
    </row>
    <row r="9" customFormat="false" ht="18" hidden="false" customHeight="true" outlineLevel="0" collapsed="false">
      <c r="A9" s="50" t="s">
        <v>545</v>
      </c>
      <c r="B9" s="50" t="s">
        <v>141</v>
      </c>
      <c r="C9" s="50" t="s">
        <v>546</v>
      </c>
      <c r="D9" s="50" t="s">
        <v>547</v>
      </c>
      <c r="E9" s="50" t="n">
        <v>200000</v>
      </c>
      <c r="F9" s="50" t="s">
        <v>548</v>
      </c>
      <c r="G9" s="53" t="n">
        <v>86</v>
      </c>
      <c r="H9" s="53" t="s">
        <v>132</v>
      </c>
      <c r="I9" s="50" t="s">
        <v>549</v>
      </c>
      <c r="J9" s="57" t="s">
        <v>550</v>
      </c>
      <c r="K9" s="50" t="n">
        <v>727</v>
      </c>
      <c r="L9" s="73" t="s">
        <v>551</v>
      </c>
      <c r="M9" s="50" t="s">
        <v>88</v>
      </c>
      <c r="N9" s="50" t="s">
        <v>552</v>
      </c>
      <c r="O9" s="50"/>
    </row>
    <row r="10" customFormat="false" ht="18" hidden="false" customHeight="true" outlineLevel="0" collapsed="false">
      <c r="A10" s="46" t="s">
        <v>553</v>
      </c>
      <c r="B10" s="46" t="s">
        <v>152</v>
      </c>
      <c r="C10" s="46" t="s">
        <v>554</v>
      </c>
      <c r="D10" s="46" t="s">
        <v>555</v>
      </c>
      <c r="E10" s="46" t="n">
        <v>48500</v>
      </c>
      <c r="F10" s="46" t="s">
        <v>510</v>
      </c>
      <c r="G10" s="53" t="n">
        <v>78</v>
      </c>
      <c r="H10" s="55" t="s">
        <v>556</v>
      </c>
      <c r="I10" s="46" t="s">
        <v>557</v>
      </c>
      <c r="J10" s="52" t="s">
        <v>558</v>
      </c>
      <c r="K10" s="46" t="n">
        <v>696</v>
      </c>
      <c r="L10" s="72" t="s">
        <v>559</v>
      </c>
      <c r="M10" s="46" t="s">
        <v>88</v>
      </c>
      <c r="N10" s="46" t="s">
        <v>560</v>
      </c>
      <c r="O10" s="46"/>
    </row>
    <row r="11" customFormat="false" ht="18" hidden="false" customHeight="true" outlineLevel="0" collapsed="false">
      <c r="A11" s="50" t="s">
        <v>561</v>
      </c>
      <c r="B11" s="50" t="s">
        <v>163</v>
      </c>
      <c r="C11" s="50" t="s">
        <v>562</v>
      </c>
      <c r="D11" s="50" t="s">
        <v>563</v>
      </c>
      <c r="E11" s="50" t="n">
        <v>150000</v>
      </c>
      <c r="F11" s="50" t="s">
        <v>516</v>
      </c>
      <c r="G11" s="48" t="n">
        <v>58</v>
      </c>
      <c r="H11" s="55" t="s">
        <v>556</v>
      </c>
      <c r="I11" s="50" t="s">
        <v>564</v>
      </c>
      <c r="J11" s="52" t="s">
        <v>32</v>
      </c>
      <c r="K11" s="50" t="n">
        <v>664</v>
      </c>
      <c r="L11" s="73" t="s">
        <v>565</v>
      </c>
      <c r="M11" s="50" t="s">
        <v>88</v>
      </c>
      <c r="N11" s="50" t="s">
        <v>566</v>
      </c>
      <c r="O11" s="50"/>
    </row>
    <row r="12" customFormat="false" ht="18" hidden="false" customHeight="true" outlineLevel="0" collapsed="false">
      <c r="A12" s="46" t="s">
        <v>567</v>
      </c>
      <c r="B12" s="46" t="s">
        <v>172</v>
      </c>
      <c r="C12" s="46" t="s">
        <v>568</v>
      </c>
      <c r="D12" s="46" t="s">
        <v>569</v>
      </c>
      <c r="E12" s="46" t="n">
        <v>110000</v>
      </c>
      <c r="F12" s="46" t="s">
        <v>523</v>
      </c>
      <c r="G12" s="48" t="n">
        <v>60</v>
      </c>
      <c r="H12" s="74" t="s">
        <v>108</v>
      </c>
      <c r="I12" s="46" t="s">
        <v>570</v>
      </c>
      <c r="J12" s="57" t="s">
        <v>48</v>
      </c>
      <c r="K12" s="46" t="n">
        <v>632</v>
      </c>
      <c r="L12" s="72" t="s">
        <v>571</v>
      </c>
      <c r="M12" s="46" t="s">
        <v>88</v>
      </c>
      <c r="N12" s="46" t="s">
        <v>572</v>
      </c>
      <c r="O12" s="46"/>
    </row>
    <row r="13" customFormat="false" ht="18" hidden="false" customHeight="true" outlineLevel="0" collapsed="false">
      <c r="A13" s="50" t="s">
        <v>573</v>
      </c>
      <c r="B13" s="50" t="s">
        <v>181</v>
      </c>
      <c r="C13" s="50" t="s">
        <v>574</v>
      </c>
      <c r="D13" s="50" t="s">
        <v>575</v>
      </c>
      <c r="E13" s="50" t="n">
        <v>175000</v>
      </c>
      <c r="F13" s="50" t="s">
        <v>530</v>
      </c>
      <c r="G13" s="48" t="n">
        <v>59</v>
      </c>
      <c r="H13" s="48" t="s">
        <v>80</v>
      </c>
      <c r="I13" s="50" t="s">
        <v>576</v>
      </c>
      <c r="J13" s="52" t="s">
        <v>525</v>
      </c>
      <c r="K13" s="50" t="n">
        <v>601</v>
      </c>
      <c r="L13" s="73" t="s">
        <v>577</v>
      </c>
      <c r="M13" s="50" t="s">
        <v>88</v>
      </c>
      <c r="N13" s="50" t="s">
        <v>162</v>
      </c>
      <c r="O13" s="50"/>
    </row>
    <row r="14" customFormat="false" ht="18" hidden="false" customHeight="true" outlineLevel="0" collapsed="false">
      <c r="A14" s="46" t="s">
        <v>578</v>
      </c>
      <c r="B14" s="46" t="s">
        <v>190</v>
      </c>
      <c r="C14" s="46" t="s">
        <v>579</v>
      </c>
      <c r="D14" s="46" t="s">
        <v>580</v>
      </c>
      <c r="E14" s="46" t="n">
        <v>175000</v>
      </c>
      <c r="F14" s="46" t="s">
        <v>539</v>
      </c>
      <c r="G14" s="55" t="n">
        <v>90</v>
      </c>
      <c r="H14" s="53" t="s">
        <v>132</v>
      </c>
      <c r="I14" s="46" t="s">
        <v>511</v>
      </c>
      <c r="J14" s="49" t="s">
        <v>532</v>
      </c>
      <c r="K14" s="46" t="n">
        <v>5</v>
      </c>
      <c r="L14" s="72" t="s">
        <v>581</v>
      </c>
      <c r="M14" s="46" t="s">
        <v>139</v>
      </c>
      <c r="N14" s="46" t="s">
        <v>243</v>
      </c>
      <c r="O14" s="46" t="s">
        <v>582</v>
      </c>
    </row>
    <row r="15" customFormat="false" ht="18" hidden="false" customHeight="true" outlineLevel="0" collapsed="false">
      <c r="A15" s="50" t="s">
        <v>583</v>
      </c>
      <c r="B15" s="50" t="s">
        <v>199</v>
      </c>
      <c r="C15" s="50" t="s">
        <v>584</v>
      </c>
      <c r="D15" s="50" t="s">
        <v>585</v>
      </c>
      <c r="E15" s="50" t="n">
        <v>6000</v>
      </c>
      <c r="F15" s="50" t="s">
        <v>548</v>
      </c>
      <c r="G15" s="55" t="n">
        <v>93</v>
      </c>
      <c r="H15" s="53" t="s">
        <v>132</v>
      </c>
      <c r="I15" s="50" t="s">
        <v>517</v>
      </c>
      <c r="J15" s="49" t="s">
        <v>541</v>
      </c>
      <c r="K15" s="50" t="n">
        <v>9</v>
      </c>
      <c r="L15" s="73" t="s">
        <v>586</v>
      </c>
      <c r="M15" s="50" t="s">
        <v>139</v>
      </c>
      <c r="N15" s="50" t="s">
        <v>519</v>
      </c>
      <c r="O15" s="50" t="s">
        <v>587</v>
      </c>
    </row>
    <row r="16" customFormat="false" ht="18" hidden="false" customHeight="true" outlineLevel="0" collapsed="false">
      <c r="A16" s="46" t="s">
        <v>588</v>
      </c>
      <c r="B16" s="46" t="s">
        <v>208</v>
      </c>
      <c r="C16" s="46" t="s">
        <v>589</v>
      </c>
      <c r="D16" s="46" t="s">
        <v>590</v>
      </c>
      <c r="E16" s="46" t="n">
        <v>32000</v>
      </c>
      <c r="F16" s="46" t="s">
        <v>510</v>
      </c>
      <c r="G16" s="53" t="n">
        <v>89</v>
      </c>
      <c r="H16" s="74" t="s">
        <v>108</v>
      </c>
      <c r="I16" s="46" t="s">
        <v>524</v>
      </c>
      <c r="J16" s="57" t="s">
        <v>550</v>
      </c>
      <c r="K16" s="46" t="n">
        <v>872</v>
      </c>
      <c r="L16" s="72" t="s">
        <v>591</v>
      </c>
      <c r="M16" s="46" t="s">
        <v>88</v>
      </c>
      <c r="N16" s="46" t="s">
        <v>504</v>
      </c>
      <c r="O16" s="46"/>
    </row>
    <row r="17" customFormat="false" ht="18" hidden="false" customHeight="true" outlineLevel="0" collapsed="false">
      <c r="A17" s="50" t="s">
        <v>592</v>
      </c>
      <c r="B17" s="50" t="s">
        <v>216</v>
      </c>
      <c r="C17" s="50" t="s">
        <v>593</v>
      </c>
      <c r="D17" s="50" t="s">
        <v>594</v>
      </c>
      <c r="E17" s="50" t="n">
        <v>8500</v>
      </c>
      <c r="F17" s="50" t="s">
        <v>516</v>
      </c>
      <c r="G17" s="53" t="n">
        <v>80</v>
      </c>
      <c r="H17" s="53" t="s">
        <v>132</v>
      </c>
      <c r="I17" s="50" t="s">
        <v>531</v>
      </c>
      <c r="J17" s="52" t="s">
        <v>558</v>
      </c>
      <c r="K17" s="50" t="n">
        <v>840</v>
      </c>
      <c r="L17" s="73" t="s">
        <v>595</v>
      </c>
      <c r="M17" s="50" t="s">
        <v>88</v>
      </c>
      <c r="N17" s="50" t="s">
        <v>534</v>
      </c>
      <c r="O17" s="50"/>
    </row>
    <row r="18" customFormat="false" ht="18" hidden="false" customHeight="true" outlineLevel="0" collapsed="false">
      <c r="A18" s="46" t="s">
        <v>596</v>
      </c>
      <c r="B18" s="46" t="s">
        <v>224</v>
      </c>
      <c r="C18" s="46" t="s">
        <v>597</v>
      </c>
      <c r="D18" s="46" t="s">
        <v>598</v>
      </c>
      <c r="E18" s="46" t="n">
        <v>42000</v>
      </c>
      <c r="F18" s="46" t="s">
        <v>523</v>
      </c>
      <c r="G18" s="53" t="n">
        <v>88</v>
      </c>
      <c r="H18" s="74" t="s">
        <v>108</v>
      </c>
      <c r="I18" s="46" t="s">
        <v>540</v>
      </c>
      <c r="J18" s="52" t="s">
        <v>32</v>
      </c>
      <c r="K18" s="46" t="n">
        <v>810</v>
      </c>
      <c r="L18" s="72" t="s">
        <v>599</v>
      </c>
      <c r="M18" s="46" t="s">
        <v>139</v>
      </c>
      <c r="N18" s="46" t="s">
        <v>543</v>
      </c>
      <c r="O18" s="46"/>
    </row>
    <row r="19" customFormat="false" ht="18" hidden="false" customHeight="true" outlineLevel="0" collapsed="false">
      <c r="A19" s="50" t="s">
        <v>600</v>
      </c>
      <c r="B19" s="50" t="s">
        <v>232</v>
      </c>
      <c r="C19" s="50" t="s">
        <v>601</v>
      </c>
      <c r="D19" s="50" t="s">
        <v>509</v>
      </c>
      <c r="E19" s="50" t="n">
        <v>48500</v>
      </c>
      <c r="F19" s="50" t="s">
        <v>530</v>
      </c>
      <c r="G19" s="48" t="n">
        <v>70</v>
      </c>
      <c r="H19" s="53" t="s">
        <v>132</v>
      </c>
      <c r="I19" s="50" t="s">
        <v>549</v>
      </c>
      <c r="J19" s="57" t="s">
        <v>48</v>
      </c>
      <c r="K19" s="50" t="n">
        <v>778</v>
      </c>
      <c r="L19" s="73" t="s">
        <v>512</v>
      </c>
      <c r="M19" s="50" t="s">
        <v>88</v>
      </c>
      <c r="N19" s="50" t="s">
        <v>552</v>
      </c>
      <c r="O19" s="50"/>
    </row>
    <row r="20" customFormat="false" ht="18" hidden="false" customHeight="true" outlineLevel="0" collapsed="false">
      <c r="A20" s="46" t="s">
        <v>602</v>
      </c>
      <c r="B20" s="46" t="s">
        <v>240</v>
      </c>
      <c r="C20" s="46" t="s">
        <v>603</v>
      </c>
      <c r="D20" s="46" t="s">
        <v>515</v>
      </c>
      <c r="E20" s="46" t="n">
        <v>24500</v>
      </c>
      <c r="F20" s="46" t="s">
        <v>539</v>
      </c>
      <c r="G20" s="53" t="n">
        <v>76</v>
      </c>
      <c r="H20" s="55" t="s">
        <v>556</v>
      </c>
      <c r="I20" s="46" t="s">
        <v>557</v>
      </c>
      <c r="J20" s="52" t="s">
        <v>525</v>
      </c>
      <c r="K20" s="46" t="n">
        <v>747</v>
      </c>
      <c r="L20" s="72" t="s">
        <v>518</v>
      </c>
      <c r="M20" s="46" t="s">
        <v>88</v>
      </c>
      <c r="N20" s="46" t="s">
        <v>560</v>
      </c>
      <c r="O20" s="46"/>
    </row>
    <row r="21" customFormat="false" ht="18" hidden="false" customHeight="true" outlineLevel="0" collapsed="false">
      <c r="A21" s="50" t="s">
        <v>604</v>
      </c>
      <c r="B21" s="50" t="s">
        <v>248</v>
      </c>
      <c r="C21" s="50" t="s">
        <v>605</v>
      </c>
      <c r="D21" s="50" t="s">
        <v>522</v>
      </c>
      <c r="E21" s="50" t="n">
        <v>95000</v>
      </c>
      <c r="F21" s="50" t="s">
        <v>548</v>
      </c>
      <c r="G21" s="48" t="n">
        <v>69</v>
      </c>
      <c r="H21" s="55" t="s">
        <v>556</v>
      </c>
      <c r="I21" s="50" t="s">
        <v>564</v>
      </c>
      <c r="J21" s="49" t="s">
        <v>532</v>
      </c>
      <c r="K21" s="50" t="n">
        <v>19</v>
      </c>
      <c r="L21" s="73" t="s">
        <v>526</v>
      </c>
      <c r="M21" s="50" t="s">
        <v>139</v>
      </c>
      <c r="N21" s="50" t="s">
        <v>566</v>
      </c>
      <c r="O21" s="50" t="s">
        <v>606</v>
      </c>
    </row>
    <row r="22" customFormat="false" ht="18" hidden="false" customHeight="true" outlineLevel="0" collapsed="false">
      <c r="A22" s="46" t="s">
        <v>607</v>
      </c>
      <c r="B22" s="46" t="s">
        <v>256</v>
      </c>
      <c r="C22" s="46" t="s">
        <v>608</v>
      </c>
      <c r="D22" s="46" t="s">
        <v>529</v>
      </c>
      <c r="E22" s="46" t="n">
        <v>9999</v>
      </c>
      <c r="F22" s="46" t="s">
        <v>510</v>
      </c>
      <c r="G22" s="48" t="n">
        <v>59</v>
      </c>
      <c r="H22" s="74" t="s">
        <v>108</v>
      </c>
      <c r="I22" s="46" t="s">
        <v>570</v>
      </c>
      <c r="J22" s="49" t="s">
        <v>541</v>
      </c>
      <c r="K22" s="46" t="n">
        <v>8</v>
      </c>
      <c r="L22" s="72" t="s">
        <v>533</v>
      </c>
      <c r="M22" s="46" t="s">
        <v>88</v>
      </c>
      <c r="N22" s="46" t="s">
        <v>572</v>
      </c>
      <c r="O22" s="46" t="s">
        <v>609</v>
      </c>
    </row>
    <row r="23" customFormat="false" ht="18" hidden="false" customHeight="true" outlineLevel="0" collapsed="false">
      <c r="A23" s="50" t="s">
        <v>610</v>
      </c>
      <c r="B23" s="50" t="s">
        <v>264</v>
      </c>
      <c r="C23" s="50" t="s">
        <v>611</v>
      </c>
      <c r="D23" s="50" t="s">
        <v>538</v>
      </c>
      <c r="E23" s="50" t="n">
        <v>24500</v>
      </c>
      <c r="F23" s="50" t="s">
        <v>516</v>
      </c>
      <c r="G23" s="48" t="n">
        <v>57</v>
      </c>
      <c r="H23" s="48" t="s">
        <v>80</v>
      </c>
      <c r="I23" s="50" t="s">
        <v>576</v>
      </c>
      <c r="J23" s="57" t="s">
        <v>550</v>
      </c>
      <c r="K23" s="50" t="n">
        <v>652</v>
      </c>
      <c r="L23" s="73" t="s">
        <v>542</v>
      </c>
      <c r="M23" s="50" t="s">
        <v>88</v>
      </c>
      <c r="N23" s="50" t="s">
        <v>162</v>
      </c>
      <c r="O23" s="50"/>
    </row>
    <row r="24" customFormat="false" ht="18" hidden="false" customHeight="true" outlineLevel="0" collapsed="false">
      <c r="A24" s="46" t="s">
        <v>612</v>
      </c>
      <c r="B24" s="46" t="s">
        <v>272</v>
      </c>
      <c r="C24" s="46" t="s">
        <v>613</v>
      </c>
      <c r="D24" s="46" t="s">
        <v>547</v>
      </c>
      <c r="E24" s="46" t="n">
        <v>24500</v>
      </c>
      <c r="F24" s="46" t="s">
        <v>523</v>
      </c>
      <c r="G24" s="53" t="n">
        <v>87</v>
      </c>
      <c r="H24" s="53" t="s">
        <v>132</v>
      </c>
      <c r="I24" s="46" t="s">
        <v>511</v>
      </c>
      <c r="J24" s="52" t="s">
        <v>558</v>
      </c>
      <c r="K24" s="46" t="n">
        <v>620</v>
      </c>
      <c r="L24" s="72" t="s">
        <v>551</v>
      </c>
      <c r="M24" s="46" t="s">
        <v>88</v>
      </c>
      <c r="N24" s="46" t="s">
        <v>243</v>
      </c>
      <c r="O24" s="46"/>
    </row>
    <row r="25" customFormat="false" ht="18" hidden="false" customHeight="true" outlineLevel="0" collapsed="false">
      <c r="A25" s="50" t="s">
        <v>614</v>
      </c>
      <c r="B25" s="50" t="s">
        <v>279</v>
      </c>
      <c r="C25" s="50" t="s">
        <v>615</v>
      </c>
      <c r="D25" s="50" t="s">
        <v>555</v>
      </c>
      <c r="E25" s="50" t="n">
        <v>55000</v>
      </c>
      <c r="F25" s="50" t="s">
        <v>530</v>
      </c>
      <c r="G25" s="55" t="n">
        <v>97</v>
      </c>
      <c r="H25" s="53" t="s">
        <v>132</v>
      </c>
      <c r="I25" s="50" t="s">
        <v>517</v>
      </c>
      <c r="J25" s="52" t="s">
        <v>32</v>
      </c>
      <c r="K25" s="50" t="n">
        <v>589</v>
      </c>
      <c r="L25" s="73" t="s">
        <v>559</v>
      </c>
      <c r="M25" s="50" t="s">
        <v>139</v>
      </c>
      <c r="N25" s="50" t="s">
        <v>519</v>
      </c>
      <c r="O25" s="50"/>
    </row>
    <row r="26" customFormat="false" ht="18" hidden="false" customHeight="true" outlineLevel="0" collapsed="false">
      <c r="A26" s="46" t="s">
        <v>616</v>
      </c>
      <c r="B26" s="46" t="s">
        <v>287</v>
      </c>
      <c r="C26" s="46" t="s">
        <v>617</v>
      </c>
      <c r="D26" s="46" t="s">
        <v>563</v>
      </c>
      <c r="E26" s="46" t="n">
        <v>32000</v>
      </c>
      <c r="F26" s="46" t="s">
        <v>539</v>
      </c>
      <c r="G26" s="53" t="n">
        <v>89</v>
      </c>
      <c r="H26" s="74" t="s">
        <v>108</v>
      </c>
      <c r="I26" s="46" t="s">
        <v>524</v>
      </c>
      <c r="J26" s="57" t="s">
        <v>48</v>
      </c>
      <c r="K26" s="46" t="n">
        <v>557</v>
      </c>
      <c r="L26" s="72" t="s">
        <v>565</v>
      </c>
      <c r="M26" s="46" t="s">
        <v>88</v>
      </c>
      <c r="N26" s="46" t="s">
        <v>504</v>
      </c>
      <c r="O26" s="46"/>
    </row>
    <row r="27" customFormat="false" ht="18" hidden="false" customHeight="true" outlineLevel="0" collapsed="false">
      <c r="A27" s="50" t="s">
        <v>618</v>
      </c>
      <c r="B27" s="50" t="s">
        <v>294</v>
      </c>
      <c r="C27" s="50" t="s">
        <v>619</v>
      </c>
      <c r="D27" s="50" t="s">
        <v>569</v>
      </c>
      <c r="E27" s="50" t="n">
        <v>110000</v>
      </c>
      <c r="F27" s="50" t="s">
        <v>548</v>
      </c>
      <c r="G27" s="55" t="n">
        <v>91</v>
      </c>
      <c r="H27" s="53" t="s">
        <v>132</v>
      </c>
      <c r="I27" s="50" t="s">
        <v>531</v>
      </c>
      <c r="J27" s="52" t="s">
        <v>525</v>
      </c>
      <c r="K27" s="50" t="n">
        <v>526</v>
      </c>
      <c r="L27" s="73" t="s">
        <v>571</v>
      </c>
      <c r="M27" s="50" t="s">
        <v>139</v>
      </c>
      <c r="N27" s="50" t="s">
        <v>534</v>
      </c>
      <c r="O27" s="50"/>
    </row>
    <row r="28" customFormat="false" ht="18" hidden="false" customHeight="true" outlineLevel="0" collapsed="false">
      <c r="A28" s="46" t="s">
        <v>620</v>
      </c>
      <c r="B28" s="46" t="s">
        <v>301</v>
      </c>
      <c r="C28" s="46" t="s">
        <v>621</v>
      </c>
      <c r="D28" s="46" t="s">
        <v>575</v>
      </c>
      <c r="E28" s="46" t="n">
        <v>175000</v>
      </c>
      <c r="F28" s="46" t="s">
        <v>510</v>
      </c>
      <c r="G28" s="53" t="n">
        <v>81</v>
      </c>
      <c r="H28" s="74" t="s">
        <v>108</v>
      </c>
      <c r="I28" s="46" t="s">
        <v>540</v>
      </c>
      <c r="J28" s="49" t="s">
        <v>532</v>
      </c>
      <c r="K28" s="46" t="n">
        <v>8</v>
      </c>
      <c r="L28" s="72" t="s">
        <v>577</v>
      </c>
      <c r="M28" s="46" t="s">
        <v>139</v>
      </c>
      <c r="N28" s="46" t="s">
        <v>543</v>
      </c>
      <c r="O28" s="46" t="s">
        <v>622</v>
      </c>
    </row>
    <row r="29" customFormat="false" ht="18" hidden="false" customHeight="true" outlineLevel="0" collapsed="false">
      <c r="A29" s="50" t="s">
        <v>623</v>
      </c>
      <c r="B29" s="50" t="s">
        <v>309</v>
      </c>
      <c r="C29" s="50" t="s">
        <v>624</v>
      </c>
      <c r="D29" s="50" t="s">
        <v>580</v>
      </c>
      <c r="E29" s="50" t="n">
        <v>48500</v>
      </c>
      <c r="F29" s="50" t="s">
        <v>516</v>
      </c>
      <c r="G29" s="55" t="n">
        <v>97</v>
      </c>
      <c r="H29" s="53" t="s">
        <v>132</v>
      </c>
      <c r="I29" s="50" t="s">
        <v>549</v>
      </c>
      <c r="J29" s="49" t="s">
        <v>541</v>
      </c>
      <c r="K29" s="50" t="n">
        <v>4</v>
      </c>
      <c r="L29" s="73" t="s">
        <v>581</v>
      </c>
      <c r="M29" s="50" t="s">
        <v>139</v>
      </c>
      <c r="N29" s="50" t="s">
        <v>552</v>
      </c>
      <c r="O29" s="50" t="s">
        <v>625</v>
      </c>
    </row>
    <row r="30" customFormat="false" ht="18" hidden="false" customHeight="true" outlineLevel="0" collapsed="false">
      <c r="A30" s="46" t="s">
        <v>626</v>
      </c>
      <c r="B30" s="46" t="s">
        <v>317</v>
      </c>
      <c r="C30" s="46" t="s">
        <v>627</v>
      </c>
      <c r="D30" s="46" t="s">
        <v>585</v>
      </c>
      <c r="E30" s="46" t="n">
        <v>88000</v>
      </c>
      <c r="F30" s="46" t="s">
        <v>523</v>
      </c>
      <c r="G30" s="53" t="n">
        <v>81</v>
      </c>
      <c r="H30" s="55" t="s">
        <v>556</v>
      </c>
      <c r="I30" s="46" t="s">
        <v>557</v>
      </c>
      <c r="J30" s="57" t="s">
        <v>550</v>
      </c>
      <c r="K30" s="46" t="n">
        <v>798</v>
      </c>
      <c r="L30" s="72" t="s">
        <v>586</v>
      </c>
      <c r="M30" s="46" t="s">
        <v>139</v>
      </c>
      <c r="N30" s="46" t="s">
        <v>560</v>
      </c>
      <c r="O30" s="46"/>
    </row>
    <row r="31" customFormat="false" ht="18" hidden="false" customHeight="true" outlineLevel="0" collapsed="false">
      <c r="A31" s="50" t="s">
        <v>628</v>
      </c>
      <c r="B31" s="50" t="s">
        <v>324</v>
      </c>
      <c r="C31" s="50" t="s">
        <v>629</v>
      </c>
      <c r="D31" s="50" t="s">
        <v>590</v>
      </c>
      <c r="E31" s="50" t="n">
        <v>15000</v>
      </c>
      <c r="F31" s="50" t="s">
        <v>530</v>
      </c>
      <c r="G31" s="55" t="n">
        <v>98</v>
      </c>
      <c r="H31" s="55" t="s">
        <v>556</v>
      </c>
      <c r="I31" s="50" t="s">
        <v>564</v>
      </c>
      <c r="J31" s="52" t="s">
        <v>558</v>
      </c>
      <c r="K31" s="50" t="n">
        <v>766</v>
      </c>
      <c r="L31" s="73" t="s">
        <v>591</v>
      </c>
      <c r="M31" s="50" t="s">
        <v>88</v>
      </c>
      <c r="N31" s="50" t="s">
        <v>566</v>
      </c>
      <c r="O31" s="50"/>
    </row>
    <row r="32" customFormat="false" ht="18" hidden="false" customHeight="true" outlineLevel="0" collapsed="false">
      <c r="A32" s="46" t="s">
        <v>630</v>
      </c>
      <c r="B32" s="46" t="s">
        <v>331</v>
      </c>
      <c r="C32" s="46" t="s">
        <v>631</v>
      </c>
      <c r="D32" s="46" t="s">
        <v>594</v>
      </c>
      <c r="E32" s="46" t="n">
        <v>15000</v>
      </c>
      <c r="F32" s="46" t="s">
        <v>539</v>
      </c>
      <c r="G32" s="53" t="n">
        <v>80</v>
      </c>
      <c r="H32" s="74" t="s">
        <v>108</v>
      </c>
      <c r="I32" s="46" t="s">
        <v>570</v>
      </c>
      <c r="J32" s="52" t="s">
        <v>32</v>
      </c>
      <c r="K32" s="46" t="n">
        <v>763</v>
      </c>
      <c r="L32" s="72" t="s">
        <v>595</v>
      </c>
      <c r="M32" s="46" t="s">
        <v>88</v>
      </c>
      <c r="N32" s="46" t="s">
        <v>572</v>
      </c>
      <c r="O32" s="46"/>
    </row>
    <row r="33" customFormat="false" ht="18" hidden="false" customHeight="true" outlineLevel="0" collapsed="false">
      <c r="A33" s="50" t="s">
        <v>632</v>
      </c>
      <c r="B33" s="50" t="s">
        <v>338</v>
      </c>
      <c r="C33" s="50" t="s">
        <v>633</v>
      </c>
      <c r="D33" s="50" t="s">
        <v>598</v>
      </c>
      <c r="E33" s="50" t="n">
        <v>48500</v>
      </c>
      <c r="F33" s="50" t="s">
        <v>548</v>
      </c>
      <c r="G33" s="48" t="n">
        <v>70</v>
      </c>
      <c r="H33" s="48" t="s">
        <v>80</v>
      </c>
      <c r="I33" s="50" t="s">
        <v>576</v>
      </c>
      <c r="J33" s="57" t="s">
        <v>48</v>
      </c>
      <c r="K33" s="50" t="n">
        <v>731</v>
      </c>
      <c r="L33" s="73" t="s">
        <v>599</v>
      </c>
      <c r="M33" s="50" t="s">
        <v>88</v>
      </c>
      <c r="N33" s="50" t="s">
        <v>162</v>
      </c>
      <c r="O33" s="50"/>
    </row>
    <row r="34" customFormat="false" ht="18" hidden="false" customHeight="true" outlineLevel="0" collapsed="false">
      <c r="A34" s="46" t="s">
        <v>634</v>
      </c>
      <c r="B34" s="46" t="s">
        <v>345</v>
      </c>
      <c r="C34" s="46" t="s">
        <v>635</v>
      </c>
      <c r="D34" s="46" t="s">
        <v>509</v>
      </c>
      <c r="E34" s="46" t="n">
        <v>32000</v>
      </c>
      <c r="F34" s="46" t="s">
        <v>510</v>
      </c>
      <c r="G34" s="53" t="n">
        <v>89</v>
      </c>
      <c r="H34" s="53" t="s">
        <v>132</v>
      </c>
      <c r="I34" s="46" t="s">
        <v>511</v>
      </c>
      <c r="J34" s="52" t="s">
        <v>525</v>
      </c>
      <c r="K34" s="46" t="n">
        <v>700</v>
      </c>
      <c r="L34" s="72" t="s">
        <v>512</v>
      </c>
      <c r="M34" s="46" t="s">
        <v>139</v>
      </c>
      <c r="N34" s="46" t="s">
        <v>243</v>
      </c>
      <c r="O34" s="46"/>
    </row>
    <row r="35" customFormat="false" ht="18" hidden="false" customHeight="true" outlineLevel="0" collapsed="false">
      <c r="A35" s="50" t="s">
        <v>636</v>
      </c>
      <c r="B35" s="50" t="s">
        <v>353</v>
      </c>
      <c r="C35" s="50" t="s">
        <v>637</v>
      </c>
      <c r="D35" s="50" t="s">
        <v>515</v>
      </c>
      <c r="E35" s="50" t="n">
        <v>88000</v>
      </c>
      <c r="F35" s="50" t="s">
        <v>516</v>
      </c>
      <c r="G35" s="48" t="n">
        <v>66</v>
      </c>
      <c r="H35" s="53" t="s">
        <v>132</v>
      </c>
      <c r="I35" s="50" t="s">
        <v>517</v>
      </c>
      <c r="J35" s="49" t="s">
        <v>532</v>
      </c>
      <c r="K35" s="50" t="n">
        <v>5</v>
      </c>
      <c r="L35" s="73" t="s">
        <v>518</v>
      </c>
      <c r="M35" s="50" t="s">
        <v>139</v>
      </c>
      <c r="N35" s="50" t="s">
        <v>519</v>
      </c>
      <c r="O35" s="50" t="s">
        <v>638</v>
      </c>
    </row>
    <row r="36" customFormat="false" ht="18" hidden="false" customHeight="true" outlineLevel="0" collapsed="false">
      <c r="A36" s="46" t="s">
        <v>639</v>
      </c>
      <c r="B36" s="46" t="s">
        <v>360</v>
      </c>
      <c r="C36" s="46" t="s">
        <v>640</v>
      </c>
      <c r="D36" s="46" t="s">
        <v>522</v>
      </c>
      <c r="E36" s="46" t="n">
        <v>150000</v>
      </c>
      <c r="F36" s="46" t="s">
        <v>523</v>
      </c>
      <c r="G36" s="48" t="n">
        <v>59</v>
      </c>
      <c r="H36" s="74" t="s">
        <v>108</v>
      </c>
      <c r="I36" s="46" t="s">
        <v>524</v>
      </c>
      <c r="J36" s="49" t="s">
        <v>541</v>
      </c>
      <c r="K36" s="46" t="n">
        <v>15</v>
      </c>
      <c r="L36" s="72" t="s">
        <v>526</v>
      </c>
      <c r="M36" s="46" t="s">
        <v>139</v>
      </c>
      <c r="N36" s="46" t="s">
        <v>504</v>
      </c>
      <c r="O36" s="46" t="s">
        <v>641</v>
      </c>
    </row>
    <row r="37" customFormat="false" ht="18" hidden="false" customHeight="true" outlineLevel="0" collapsed="false">
      <c r="A37" s="50" t="s">
        <v>642</v>
      </c>
      <c r="B37" s="50" t="s">
        <v>367</v>
      </c>
      <c r="C37" s="50" t="s">
        <v>643</v>
      </c>
      <c r="D37" s="50" t="s">
        <v>529</v>
      </c>
      <c r="E37" s="50" t="n">
        <v>95000</v>
      </c>
      <c r="F37" s="50" t="s">
        <v>530</v>
      </c>
      <c r="G37" s="48" t="n">
        <v>61</v>
      </c>
      <c r="H37" s="53" t="s">
        <v>132</v>
      </c>
      <c r="I37" s="50" t="s">
        <v>531</v>
      </c>
      <c r="J37" s="57" t="s">
        <v>550</v>
      </c>
      <c r="K37" s="50" t="n">
        <v>605</v>
      </c>
      <c r="L37" s="73" t="s">
        <v>533</v>
      </c>
      <c r="M37" s="50" t="s">
        <v>88</v>
      </c>
      <c r="N37" s="50" t="s">
        <v>534</v>
      </c>
      <c r="O37" s="50"/>
    </row>
    <row r="38" customFormat="false" ht="18" hidden="false" customHeight="true" outlineLevel="0" collapsed="false">
      <c r="A38" s="46" t="s">
        <v>644</v>
      </c>
      <c r="B38" s="46" t="s">
        <v>374</v>
      </c>
      <c r="C38" s="46" t="s">
        <v>645</v>
      </c>
      <c r="D38" s="46" t="s">
        <v>538</v>
      </c>
      <c r="E38" s="46" t="n">
        <v>95000</v>
      </c>
      <c r="F38" s="46" t="s">
        <v>539</v>
      </c>
      <c r="G38" s="48" t="n">
        <v>55</v>
      </c>
      <c r="H38" s="74" t="s">
        <v>108</v>
      </c>
      <c r="I38" s="46" t="s">
        <v>540</v>
      </c>
      <c r="J38" s="52" t="s">
        <v>558</v>
      </c>
      <c r="K38" s="46" t="n">
        <v>573</v>
      </c>
      <c r="L38" s="72" t="s">
        <v>542</v>
      </c>
      <c r="M38" s="46" t="s">
        <v>88</v>
      </c>
      <c r="N38" s="46" t="s">
        <v>543</v>
      </c>
      <c r="O38" s="46"/>
    </row>
    <row r="39" customFormat="false" ht="18" hidden="false" customHeight="true" outlineLevel="0" collapsed="false">
      <c r="A39" s="50" t="s">
        <v>646</v>
      </c>
      <c r="B39" s="50" t="s">
        <v>381</v>
      </c>
      <c r="C39" s="50" t="s">
        <v>647</v>
      </c>
      <c r="D39" s="50" t="s">
        <v>547</v>
      </c>
      <c r="E39" s="50" t="n">
        <v>150000</v>
      </c>
      <c r="F39" s="50" t="s">
        <v>548</v>
      </c>
      <c r="G39" s="48" t="n">
        <v>65</v>
      </c>
      <c r="H39" s="53" t="s">
        <v>132</v>
      </c>
      <c r="I39" s="50" t="s">
        <v>549</v>
      </c>
      <c r="J39" s="52" t="s">
        <v>32</v>
      </c>
      <c r="K39" s="50" t="n">
        <v>542</v>
      </c>
      <c r="L39" s="73" t="s">
        <v>551</v>
      </c>
      <c r="M39" s="50" t="s">
        <v>139</v>
      </c>
      <c r="N39" s="50" t="s">
        <v>552</v>
      </c>
      <c r="O39" s="50"/>
    </row>
    <row r="40" customFormat="false" ht="18" hidden="false" customHeight="true" outlineLevel="0" collapsed="false">
      <c r="A40" s="46" t="s">
        <v>648</v>
      </c>
      <c r="B40" s="46" t="s">
        <v>388</v>
      </c>
      <c r="C40" s="46" t="s">
        <v>649</v>
      </c>
      <c r="D40" s="46" t="s">
        <v>555</v>
      </c>
      <c r="E40" s="46" t="n">
        <v>175000</v>
      </c>
      <c r="F40" s="46" t="s">
        <v>510</v>
      </c>
      <c r="G40" s="53" t="n">
        <v>85</v>
      </c>
      <c r="H40" s="55" t="s">
        <v>556</v>
      </c>
      <c r="I40" s="46" t="s">
        <v>557</v>
      </c>
      <c r="J40" s="57" t="s">
        <v>48</v>
      </c>
      <c r="K40" s="46" t="n">
        <v>876</v>
      </c>
      <c r="L40" s="72" t="s">
        <v>559</v>
      </c>
      <c r="M40" s="46" t="s">
        <v>88</v>
      </c>
      <c r="N40" s="46" t="s">
        <v>560</v>
      </c>
      <c r="O40" s="46"/>
    </row>
    <row r="41" customFormat="false" ht="18" hidden="false" customHeight="true" outlineLevel="0" collapsed="false">
      <c r="A41" s="50" t="s">
        <v>650</v>
      </c>
      <c r="B41" s="50" t="s">
        <v>395</v>
      </c>
      <c r="C41" s="50" t="s">
        <v>651</v>
      </c>
      <c r="D41" s="50" t="s">
        <v>563</v>
      </c>
      <c r="E41" s="50" t="n">
        <v>67000</v>
      </c>
      <c r="F41" s="50" t="s">
        <v>516</v>
      </c>
      <c r="G41" s="48" t="n">
        <v>58</v>
      </c>
      <c r="H41" s="55" t="s">
        <v>556</v>
      </c>
      <c r="I41" s="50" t="s">
        <v>564</v>
      </c>
      <c r="J41" s="52" t="s">
        <v>525</v>
      </c>
      <c r="K41" s="50" t="n">
        <v>844</v>
      </c>
      <c r="L41" s="73" t="s">
        <v>565</v>
      </c>
      <c r="M41" s="50" t="s">
        <v>88</v>
      </c>
      <c r="N41" s="50" t="s">
        <v>566</v>
      </c>
      <c r="O41" s="50"/>
    </row>
    <row r="42" customFormat="false" ht="18" hidden="false" customHeight="true" outlineLevel="0" collapsed="false">
      <c r="A42" s="46" t="s">
        <v>652</v>
      </c>
      <c r="B42" s="46" t="s">
        <v>402</v>
      </c>
      <c r="C42" s="46" t="s">
        <v>653</v>
      </c>
      <c r="D42" s="46" t="s">
        <v>569</v>
      </c>
      <c r="E42" s="46" t="n">
        <v>9999</v>
      </c>
      <c r="F42" s="46" t="s">
        <v>523</v>
      </c>
      <c r="G42" s="53" t="n">
        <v>79</v>
      </c>
      <c r="H42" s="74" t="s">
        <v>108</v>
      </c>
      <c r="I42" s="46" t="s">
        <v>570</v>
      </c>
      <c r="J42" s="49" t="s">
        <v>532</v>
      </c>
      <c r="K42" s="46" t="n">
        <v>13</v>
      </c>
      <c r="L42" s="72" t="s">
        <v>571</v>
      </c>
      <c r="M42" s="46" t="s">
        <v>139</v>
      </c>
      <c r="N42" s="46" t="s">
        <v>572</v>
      </c>
      <c r="O42" s="46" t="s">
        <v>654</v>
      </c>
    </row>
    <row r="43" customFormat="false" ht="18" hidden="false" customHeight="true" outlineLevel="0" collapsed="false">
      <c r="A43" s="50" t="s">
        <v>655</v>
      </c>
      <c r="B43" s="50" t="s">
        <v>410</v>
      </c>
      <c r="C43" s="50" t="s">
        <v>656</v>
      </c>
      <c r="D43" s="50" t="s">
        <v>575</v>
      </c>
      <c r="E43" s="50" t="n">
        <v>42000</v>
      </c>
      <c r="F43" s="50" t="s">
        <v>530</v>
      </c>
      <c r="G43" s="48" t="n">
        <v>73</v>
      </c>
      <c r="H43" s="48" t="s">
        <v>80</v>
      </c>
      <c r="I43" s="50" t="s">
        <v>576</v>
      </c>
      <c r="J43" s="49" t="s">
        <v>541</v>
      </c>
      <c r="K43" s="50" t="n">
        <v>30</v>
      </c>
      <c r="L43" s="73" t="s">
        <v>577</v>
      </c>
      <c r="M43" s="50" t="s">
        <v>139</v>
      </c>
      <c r="N43" s="50" t="s">
        <v>162</v>
      </c>
      <c r="O43" s="50" t="s">
        <v>657</v>
      </c>
    </row>
    <row r="44" customFormat="false" ht="18" hidden="false" customHeight="true" outlineLevel="0" collapsed="false">
      <c r="A44" s="46" t="s">
        <v>658</v>
      </c>
      <c r="B44" s="46" t="s">
        <v>417</v>
      </c>
      <c r="C44" s="46" t="s">
        <v>659</v>
      </c>
      <c r="D44" s="46" t="s">
        <v>580</v>
      </c>
      <c r="E44" s="46" t="n">
        <v>95000</v>
      </c>
      <c r="F44" s="46" t="s">
        <v>539</v>
      </c>
      <c r="G44" s="55" t="n">
        <v>97</v>
      </c>
      <c r="H44" s="53" t="s">
        <v>132</v>
      </c>
      <c r="I44" s="46" t="s">
        <v>511</v>
      </c>
      <c r="J44" s="57" t="s">
        <v>550</v>
      </c>
      <c r="K44" s="46" t="n">
        <v>751</v>
      </c>
      <c r="L44" s="72" t="s">
        <v>581</v>
      </c>
      <c r="M44" s="46" t="s">
        <v>139</v>
      </c>
      <c r="N44" s="46" t="s">
        <v>243</v>
      </c>
      <c r="O44" s="46"/>
    </row>
    <row r="45" customFormat="false" ht="18" hidden="false" customHeight="true" outlineLevel="0" collapsed="false">
      <c r="A45" s="50" t="s">
        <v>660</v>
      </c>
      <c r="B45" s="50" t="s">
        <v>424</v>
      </c>
      <c r="C45" s="50" t="s">
        <v>661</v>
      </c>
      <c r="D45" s="50" t="s">
        <v>585</v>
      </c>
      <c r="E45" s="50" t="n">
        <v>75000</v>
      </c>
      <c r="F45" s="50" t="s">
        <v>548</v>
      </c>
      <c r="G45" s="48" t="n">
        <v>67</v>
      </c>
      <c r="H45" s="53" t="s">
        <v>132</v>
      </c>
      <c r="I45" s="50" t="s">
        <v>517</v>
      </c>
      <c r="J45" s="52" t="s">
        <v>558</v>
      </c>
      <c r="K45" s="50" t="n">
        <v>719</v>
      </c>
      <c r="L45" s="73" t="s">
        <v>586</v>
      </c>
      <c r="M45" s="50" t="s">
        <v>88</v>
      </c>
      <c r="N45" s="50" t="s">
        <v>519</v>
      </c>
      <c r="O45" s="50"/>
    </row>
    <row r="46" customFormat="false" ht="18" hidden="false" customHeight="true" outlineLevel="0" collapsed="false">
      <c r="A46" s="46" t="s">
        <v>662</v>
      </c>
      <c r="B46" s="46" t="s">
        <v>431</v>
      </c>
      <c r="C46" s="46" t="s">
        <v>663</v>
      </c>
      <c r="D46" s="46" t="s">
        <v>590</v>
      </c>
      <c r="E46" s="46" t="n">
        <v>32000</v>
      </c>
      <c r="F46" s="46" t="s">
        <v>510</v>
      </c>
      <c r="G46" s="48" t="n">
        <v>58</v>
      </c>
      <c r="H46" s="74" t="s">
        <v>108</v>
      </c>
      <c r="I46" s="46" t="s">
        <v>524</v>
      </c>
      <c r="J46" s="52" t="s">
        <v>32</v>
      </c>
      <c r="K46" s="46" t="n">
        <v>688</v>
      </c>
      <c r="L46" s="72" t="s">
        <v>591</v>
      </c>
      <c r="M46" s="46" t="s">
        <v>88</v>
      </c>
      <c r="N46" s="46" t="s">
        <v>504</v>
      </c>
      <c r="O46" s="46"/>
    </row>
    <row r="47" customFormat="false" ht="18" hidden="false" customHeight="true" outlineLevel="0" collapsed="false">
      <c r="A47" s="50" t="s">
        <v>664</v>
      </c>
      <c r="B47" s="50" t="s">
        <v>439</v>
      </c>
      <c r="C47" s="50" t="s">
        <v>665</v>
      </c>
      <c r="D47" s="50" t="s">
        <v>594</v>
      </c>
      <c r="E47" s="50" t="n">
        <v>200000</v>
      </c>
      <c r="F47" s="50" t="s">
        <v>516</v>
      </c>
      <c r="G47" s="48" t="n">
        <v>58</v>
      </c>
      <c r="H47" s="53" t="s">
        <v>132</v>
      </c>
      <c r="I47" s="50" t="s">
        <v>531</v>
      </c>
      <c r="J47" s="57" t="s">
        <v>48</v>
      </c>
      <c r="K47" s="50" t="n">
        <v>656</v>
      </c>
      <c r="L47" s="73" t="s">
        <v>595</v>
      </c>
      <c r="M47" s="50" t="s">
        <v>88</v>
      </c>
      <c r="N47" s="50" t="s">
        <v>534</v>
      </c>
      <c r="O47" s="50"/>
    </row>
    <row r="48" customFormat="false" ht="18" hidden="false" customHeight="true" outlineLevel="0" collapsed="false">
      <c r="A48" s="46" t="s">
        <v>666</v>
      </c>
      <c r="B48" s="46" t="s">
        <v>446</v>
      </c>
      <c r="C48" s="46" t="s">
        <v>667</v>
      </c>
      <c r="D48" s="46" t="s">
        <v>598</v>
      </c>
      <c r="E48" s="46" t="n">
        <v>110000</v>
      </c>
      <c r="F48" s="46" t="s">
        <v>523</v>
      </c>
      <c r="G48" s="53" t="n">
        <v>85</v>
      </c>
      <c r="H48" s="74" t="s">
        <v>108</v>
      </c>
      <c r="I48" s="46" t="s">
        <v>540</v>
      </c>
      <c r="J48" s="52" t="s">
        <v>525</v>
      </c>
      <c r="K48" s="46" t="n">
        <v>624</v>
      </c>
      <c r="L48" s="72" t="s">
        <v>599</v>
      </c>
      <c r="M48" s="46" t="s">
        <v>88</v>
      </c>
      <c r="N48" s="46" t="s">
        <v>543</v>
      </c>
      <c r="O48" s="46"/>
    </row>
    <row r="49" customFormat="false" ht="18" hidden="false" customHeight="true" outlineLevel="0" collapsed="false">
      <c r="A49" s="50" t="s">
        <v>668</v>
      </c>
      <c r="B49" s="50" t="s">
        <v>453</v>
      </c>
      <c r="C49" s="50" t="s">
        <v>669</v>
      </c>
      <c r="D49" s="50" t="s">
        <v>509</v>
      </c>
      <c r="E49" s="50" t="n">
        <v>6000</v>
      </c>
      <c r="F49" s="50" t="s">
        <v>530</v>
      </c>
      <c r="G49" s="48" t="n">
        <v>60</v>
      </c>
      <c r="H49" s="53" t="s">
        <v>132</v>
      </c>
      <c r="I49" s="50" t="s">
        <v>549</v>
      </c>
      <c r="J49" s="49" t="s">
        <v>532</v>
      </c>
      <c r="K49" s="50" t="n">
        <v>2</v>
      </c>
      <c r="L49" s="73" t="s">
        <v>512</v>
      </c>
      <c r="M49" s="50" t="s">
        <v>139</v>
      </c>
      <c r="N49" s="50" t="s">
        <v>552</v>
      </c>
      <c r="O49" s="50" t="s">
        <v>670</v>
      </c>
    </row>
    <row r="50" customFormat="false" ht="18" hidden="false" customHeight="true" outlineLevel="0" collapsed="false">
      <c r="A50" s="46" t="s">
        <v>671</v>
      </c>
      <c r="B50" s="46" t="s">
        <v>460</v>
      </c>
      <c r="C50" s="46" t="s">
        <v>672</v>
      </c>
      <c r="D50" s="46" t="s">
        <v>515</v>
      </c>
      <c r="E50" s="46" t="n">
        <v>24500</v>
      </c>
      <c r="F50" s="46" t="s">
        <v>539</v>
      </c>
      <c r="G50" s="55" t="n">
        <v>93</v>
      </c>
      <c r="H50" s="55" t="s">
        <v>556</v>
      </c>
      <c r="I50" s="46" t="s">
        <v>557</v>
      </c>
      <c r="J50" s="49" t="s">
        <v>541</v>
      </c>
      <c r="K50" s="46" t="n">
        <v>6</v>
      </c>
      <c r="L50" s="72" t="s">
        <v>518</v>
      </c>
      <c r="M50" s="46" t="s">
        <v>88</v>
      </c>
      <c r="N50" s="46" t="s">
        <v>560</v>
      </c>
      <c r="O50" s="46" t="s">
        <v>673</v>
      </c>
    </row>
    <row r="51" customFormat="false" ht="18" hidden="false" customHeight="true" outlineLevel="0" collapsed="false">
      <c r="A51" s="50" t="s">
        <v>674</v>
      </c>
      <c r="B51" s="50" t="s">
        <v>468</v>
      </c>
      <c r="C51" s="50" t="s">
        <v>675</v>
      </c>
      <c r="D51" s="50" t="s">
        <v>522</v>
      </c>
      <c r="E51" s="50" t="n">
        <v>150000</v>
      </c>
      <c r="F51" s="50" t="s">
        <v>548</v>
      </c>
      <c r="G51" s="53" t="n">
        <v>80</v>
      </c>
      <c r="H51" s="55" t="s">
        <v>556</v>
      </c>
      <c r="I51" s="50" t="s">
        <v>564</v>
      </c>
      <c r="J51" s="57" t="s">
        <v>550</v>
      </c>
      <c r="K51" s="50" t="n">
        <v>530</v>
      </c>
      <c r="L51" s="73" t="s">
        <v>526</v>
      </c>
      <c r="M51" s="50" t="s">
        <v>88</v>
      </c>
      <c r="N51" s="50" t="s">
        <v>566</v>
      </c>
      <c r="O51" s="50"/>
    </row>
    <row r="52" customFormat="false" ht="18" hidden="false" customHeight="true" outlineLevel="0" collapsed="false">
      <c r="A52" s="46" t="s">
        <v>676</v>
      </c>
      <c r="B52" s="46" t="s">
        <v>475</v>
      </c>
      <c r="C52" s="46" t="s">
        <v>677</v>
      </c>
      <c r="D52" s="46" t="s">
        <v>529</v>
      </c>
      <c r="E52" s="46" t="n">
        <v>110000</v>
      </c>
      <c r="F52" s="46" t="s">
        <v>510</v>
      </c>
      <c r="G52" s="48" t="n">
        <v>70</v>
      </c>
      <c r="H52" s="74" t="s">
        <v>108</v>
      </c>
      <c r="I52" s="46" t="s">
        <v>570</v>
      </c>
      <c r="J52" s="52" t="s">
        <v>558</v>
      </c>
      <c r="K52" s="46" t="n">
        <v>864</v>
      </c>
      <c r="L52" s="72" t="s">
        <v>533</v>
      </c>
      <c r="M52" s="46" t="s">
        <v>88</v>
      </c>
      <c r="N52" s="46" t="s">
        <v>572</v>
      </c>
      <c r="O52" s="46"/>
    </row>
    <row r="53" customFormat="false" ht="18" hidden="false" customHeight="true" outlineLevel="0" collapsed="false">
      <c r="A53" s="50" t="s">
        <v>678</v>
      </c>
      <c r="B53" s="50" t="s">
        <v>482</v>
      </c>
      <c r="C53" s="50" t="s">
        <v>679</v>
      </c>
      <c r="D53" s="50" t="s">
        <v>538</v>
      </c>
      <c r="E53" s="50" t="n">
        <v>38000</v>
      </c>
      <c r="F53" s="50" t="s">
        <v>516</v>
      </c>
      <c r="G53" s="48" t="n">
        <v>60</v>
      </c>
      <c r="H53" s="48" t="s">
        <v>80</v>
      </c>
      <c r="I53" s="50" t="s">
        <v>576</v>
      </c>
      <c r="J53" s="52" t="s">
        <v>32</v>
      </c>
      <c r="K53" s="50" t="n">
        <v>832</v>
      </c>
      <c r="L53" s="73" t="s">
        <v>542</v>
      </c>
      <c r="M53" s="50" t="s">
        <v>139</v>
      </c>
      <c r="N53" s="50" t="s">
        <v>162</v>
      </c>
      <c r="O53" s="50"/>
    </row>
  </sheetData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6" min="5" style="0" width="12"/>
    <col collapsed="false" customWidth="true" hidden="false" outlineLevel="0" max="7" min="7" style="0" width="15"/>
    <col collapsed="false" customWidth="true" hidden="false" outlineLevel="0" max="8" min="8" style="0" width="22"/>
    <col collapsed="false" customWidth="true" hidden="false" outlineLevel="0" max="9" min="9" style="0" width="13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28"/>
    <col collapsed="false" customWidth="true" hidden="false" outlineLevel="0" max="15" min="15" style="0" width="14"/>
  </cols>
  <sheetData>
    <row r="1" customFormat="false" ht="39.75" hidden="false" customHeight="true" outlineLevel="0" collapsed="false">
      <c r="A1" s="75" t="s">
        <v>680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customFormat="false" ht="18" hidden="false" customHeight="true" outlineLevel="0" collapsed="false">
      <c r="A2" s="76" t="s">
        <v>681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</row>
    <row r="3" customFormat="false" ht="19.5" hidden="false" customHeight="true" outlineLevel="0" collapsed="false">
      <c r="A3" s="77" t="s">
        <v>682</v>
      </c>
      <c r="B3" s="77" t="s">
        <v>59</v>
      </c>
      <c r="C3" s="77" t="s">
        <v>683</v>
      </c>
      <c r="D3" s="77" t="s">
        <v>684</v>
      </c>
      <c r="E3" s="77" t="s">
        <v>685</v>
      </c>
      <c r="F3" s="77" t="s">
        <v>686</v>
      </c>
      <c r="G3" s="77" t="s">
        <v>687</v>
      </c>
      <c r="H3" s="77" t="s">
        <v>688</v>
      </c>
      <c r="I3" s="77" t="s">
        <v>689</v>
      </c>
      <c r="J3" s="77" t="s">
        <v>690</v>
      </c>
      <c r="K3" s="77" t="s">
        <v>691</v>
      </c>
      <c r="L3" s="77" t="s">
        <v>692</v>
      </c>
      <c r="M3" s="77" t="s">
        <v>693</v>
      </c>
      <c r="N3" s="77" t="s">
        <v>694</v>
      </c>
      <c r="O3" s="77" t="s">
        <v>27</v>
      </c>
    </row>
    <row r="4" customFormat="false" ht="16.5" hidden="false" customHeight="true" outlineLevel="0" collapsed="false">
      <c r="A4" s="78" t="s">
        <v>695</v>
      </c>
      <c r="B4" s="78" t="s">
        <v>75</v>
      </c>
      <c r="C4" s="79" t="s">
        <v>76</v>
      </c>
      <c r="D4" s="78" t="s">
        <v>696</v>
      </c>
      <c r="E4" s="78" t="s">
        <v>508</v>
      </c>
      <c r="F4" s="78" t="s">
        <v>697</v>
      </c>
      <c r="G4" s="78" t="s">
        <v>511</v>
      </c>
      <c r="H4" s="78" t="s">
        <v>698</v>
      </c>
      <c r="I4" s="78" t="s">
        <v>139</v>
      </c>
      <c r="J4" s="78" t="s">
        <v>699</v>
      </c>
      <c r="K4" s="78" t="n">
        <v>380</v>
      </c>
      <c r="L4" s="53" t="s">
        <v>132</v>
      </c>
      <c r="M4" s="78" t="s">
        <v>700</v>
      </c>
      <c r="N4" s="80" t="s">
        <v>701</v>
      </c>
      <c r="O4" s="54" t="s">
        <v>32</v>
      </c>
    </row>
    <row r="5" customFormat="false" ht="16.5" hidden="false" customHeight="true" outlineLevel="0" collapsed="false">
      <c r="A5" s="50" t="s">
        <v>702</v>
      </c>
      <c r="B5" s="50" t="s">
        <v>91</v>
      </c>
      <c r="C5" s="51" t="s">
        <v>92</v>
      </c>
      <c r="D5" s="50" t="s">
        <v>703</v>
      </c>
      <c r="E5" s="50" t="s">
        <v>514</v>
      </c>
      <c r="F5" s="50" t="s">
        <v>521</v>
      </c>
      <c r="G5" s="50" t="s">
        <v>517</v>
      </c>
      <c r="H5" s="50" t="s">
        <v>704</v>
      </c>
      <c r="I5" s="50" t="s">
        <v>88</v>
      </c>
      <c r="J5" s="50" t="s">
        <v>705</v>
      </c>
      <c r="K5" s="50" t="n">
        <v>650</v>
      </c>
      <c r="L5" s="55" t="s">
        <v>706</v>
      </c>
      <c r="M5" s="50" t="s">
        <v>707</v>
      </c>
      <c r="N5" s="73" t="s">
        <v>708</v>
      </c>
      <c r="O5" s="57" t="s">
        <v>519</v>
      </c>
    </row>
    <row r="6" customFormat="false" ht="16.5" hidden="false" customHeight="true" outlineLevel="0" collapsed="false">
      <c r="A6" s="78" t="s">
        <v>709</v>
      </c>
      <c r="B6" s="78" t="s">
        <v>103</v>
      </c>
      <c r="C6" s="79" t="s">
        <v>104</v>
      </c>
      <c r="D6" s="78" t="s">
        <v>710</v>
      </c>
      <c r="E6" s="78" t="s">
        <v>521</v>
      </c>
      <c r="F6" s="78" t="s">
        <v>711</v>
      </c>
      <c r="G6" s="78" t="s">
        <v>524</v>
      </c>
      <c r="H6" s="78" t="s">
        <v>712</v>
      </c>
      <c r="I6" s="78" t="s">
        <v>713</v>
      </c>
      <c r="J6" s="78" t="s">
        <v>714</v>
      </c>
      <c r="K6" s="78" t="n">
        <v>1500</v>
      </c>
      <c r="L6" s="53" t="s">
        <v>132</v>
      </c>
      <c r="M6" s="78" t="s">
        <v>707</v>
      </c>
      <c r="N6" s="80" t="s">
        <v>715</v>
      </c>
      <c r="O6" s="52" t="s">
        <v>716</v>
      </c>
    </row>
    <row r="7" customFormat="false" ht="16.5" hidden="false" customHeight="true" outlineLevel="0" collapsed="false">
      <c r="A7" s="50" t="s">
        <v>717</v>
      </c>
      <c r="B7" s="50" t="s">
        <v>115</v>
      </c>
      <c r="C7" s="51" t="s">
        <v>116</v>
      </c>
      <c r="D7" s="50" t="s">
        <v>718</v>
      </c>
      <c r="E7" s="50" t="s">
        <v>528</v>
      </c>
      <c r="F7" s="50" t="s">
        <v>138</v>
      </c>
      <c r="G7" s="50" t="s">
        <v>531</v>
      </c>
      <c r="H7" s="50" t="s">
        <v>719</v>
      </c>
      <c r="I7" s="50" t="s">
        <v>139</v>
      </c>
      <c r="J7" s="50" t="s">
        <v>720</v>
      </c>
      <c r="K7" s="50" t="n">
        <v>650</v>
      </c>
      <c r="L7" s="74" t="s">
        <v>721</v>
      </c>
      <c r="M7" s="50" t="s">
        <v>722</v>
      </c>
      <c r="N7" s="73" t="s">
        <v>723</v>
      </c>
      <c r="O7" s="49" t="s">
        <v>724</v>
      </c>
    </row>
    <row r="8" customFormat="false" ht="16.5" hidden="false" customHeight="true" outlineLevel="0" collapsed="false">
      <c r="A8" s="78" t="s">
        <v>725</v>
      </c>
      <c r="B8" s="78" t="s">
        <v>127</v>
      </c>
      <c r="C8" s="79" t="s">
        <v>128</v>
      </c>
      <c r="D8" s="78" t="s">
        <v>726</v>
      </c>
      <c r="E8" s="78" t="s">
        <v>537</v>
      </c>
      <c r="F8" s="78" t="s">
        <v>727</v>
      </c>
      <c r="G8" s="78" t="s">
        <v>540</v>
      </c>
      <c r="H8" s="78" t="s">
        <v>728</v>
      </c>
      <c r="I8" s="78" t="s">
        <v>88</v>
      </c>
      <c r="J8" s="78" t="s">
        <v>729</v>
      </c>
      <c r="K8" s="78" t="n">
        <v>1800</v>
      </c>
      <c r="L8" s="55" t="s">
        <v>706</v>
      </c>
      <c r="M8" s="78" t="s">
        <v>730</v>
      </c>
      <c r="N8" s="80" t="s">
        <v>731</v>
      </c>
      <c r="O8" s="52" t="s">
        <v>525</v>
      </c>
    </row>
    <row r="9" customFormat="false" ht="16.5" hidden="false" customHeight="true" outlineLevel="0" collapsed="false">
      <c r="A9" s="50" t="s">
        <v>732</v>
      </c>
      <c r="B9" s="50" t="s">
        <v>141</v>
      </c>
      <c r="C9" s="51" t="s">
        <v>142</v>
      </c>
      <c r="D9" s="50" t="s">
        <v>733</v>
      </c>
      <c r="E9" s="50" t="s">
        <v>546</v>
      </c>
      <c r="F9" s="50" t="s">
        <v>734</v>
      </c>
      <c r="G9" s="50" t="s">
        <v>549</v>
      </c>
      <c r="H9" s="50" t="s">
        <v>735</v>
      </c>
      <c r="I9" s="50" t="s">
        <v>713</v>
      </c>
      <c r="J9" s="50" t="s">
        <v>736</v>
      </c>
      <c r="K9" s="50" t="n">
        <v>900</v>
      </c>
      <c r="L9" s="53" t="s">
        <v>132</v>
      </c>
      <c r="M9" s="50" t="s">
        <v>700</v>
      </c>
      <c r="N9" s="73" t="s">
        <v>737</v>
      </c>
      <c r="O9" s="57" t="s">
        <v>738</v>
      </c>
    </row>
    <row r="10" customFormat="false" ht="16.5" hidden="false" customHeight="true" outlineLevel="0" collapsed="false">
      <c r="A10" s="78" t="s">
        <v>739</v>
      </c>
      <c r="B10" s="78" t="s">
        <v>152</v>
      </c>
      <c r="C10" s="79" t="s">
        <v>153</v>
      </c>
      <c r="D10" s="78" t="s">
        <v>740</v>
      </c>
      <c r="E10" s="78" t="s">
        <v>554</v>
      </c>
      <c r="F10" s="78" t="s">
        <v>741</v>
      </c>
      <c r="G10" s="78" t="s">
        <v>557</v>
      </c>
      <c r="H10" s="78" t="s">
        <v>724</v>
      </c>
      <c r="I10" s="78" t="s">
        <v>139</v>
      </c>
      <c r="J10" s="78" t="s">
        <v>742</v>
      </c>
      <c r="K10" s="78" t="n">
        <v>750</v>
      </c>
      <c r="L10" s="74" t="s">
        <v>721</v>
      </c>
      <c r="M10" s="78" t="s">
        <v>743</v>
      </c>
      <c r="N10" s="80" t="s">
        <v>744</v>
      </c>
      <c r="O10" s="54" t="s">
        <v>32</v>
      </c>
    </row>
    <row r="11" customFormat="false" ht="16.5" hidden="false" customHeight="true" outlineLevel="0" collapsed="false">
      <c r="A11" s="50" t="s">
        <v>745</v>
      </c>
      <c r="B11" s="50" t="s">
        <v>163</v>
      </c>
      <c r="C11" s="51" t="s">
        <v>164</v>
      </c>
      <c r="D11" s="50" t="s">
        <v>746</v>
      </c>
      <c r="E11" s="50" t="s">
        <v>562</v>
      </c>
      <c r="F11" s="50" t="s">
        <v>747</v>
      </c>
      <c r="G11" s="50" t="s">
        <v>564</v>
      </c>
      <c r="H11" s="50" t="s">
        <v>748</v>
      </c>
      <c r="I11" s="50" t="s">
        <v>88</v>
      </c>
      <c r="J11" s="50" t="s">
        <v>749</v>
      </c>
      <c r="K11" s="50" t="n">
        <v>900</v>
      </c>
      <c r="L11" s="53" t="s">
        <v>132</v>
      </c>
      <c r="M11" s="50" t="s">
        <v>750</v>
      </c>
      <c r="N11" s="73" t="s">
        <v>751</v>
      </c>
      <c r="O11" s="57" t="s">
        <v>519</v>
      </c>
    </row>
    <row r="12" customFormat="false" ht="16.5" hidden="false" customHeight="true" outlineLevel="0" collapsed="false">
      <c r="A12" s="78" t="s">
        <v>752</v>
      </c>
      <c r="B12" s="78" t="s">
        <v>172</v>
      </c>
      <c r="C12" s="79" t="s">
        <v>173</v>
      </c>
      <c r="D12" s="78" t="s">
        <v>753</v>
      </c>
      <c r="E12" s="78" t="s">
        <v>568</v>
      </c>
      <c r="F12" s="78" t="s">
        <v>754</v>
      </c>
      <c r="G12" s="78" t="s">
        <v>570</v>
      </c>
      <c r="H12" s="78" t="s">
        <v>698</v>
      </c>
      <c r="I12" s="78" t="s">
        <v>713</v>
      </c>
      <c r="J12" s="78" t="s">
        <v>755</v>
      </c>
      <c r="K12" s="78" t="n">
        <v>750</v>
      </c>
      <c r="L12" s="55" t="s">
        <v>706</v>
      </c>
      <c r="M12" s="78" t="s">
        <v>707</v>
      </c>
      <c r="N12" s="80" t="s">
        <v>756</v>
      </c>
      <c r="O12" s="52" t="s">
        <v>716</v>
      </c>
    </row>
    <row r="13" customFormat="false" ht="16.5" hidden="false" customHeight="true" outlineLevel="0" collapsed="false">
      <c r="A13" s="50" t="s">
        <v>757</v>
      </c>
      <c r="B13" s="50" t="s">
        <v>181</v>
      </c>
      <c r="C13" s="51" t="s">
        <v>182</v>
      </c>
      <c r="D13" s="50" t="s">
        <v>758</v>
      </c>
      <c r="E13" s="50" t="s">
        <v>574</v>
      </c>
      <c r="F13" s="50" t="s">
        <v>759</v>
      </c>
      <c r="G13" s="50" t="s">
        <v>576</v>
      </c>
      <c r="H13" s="50" t="s">
        <v>704</v>
      </c>
      <c r="I13" s="50" t="s">
        <v>139</v>
      </c>
      <c r="J13" s="50" t="s">
        <v>760</v>
      </c>
      <c r="K13" s="50" t="n">
        <v>6000</v>
      </c>
      <c r="L13" s="48" t="s">
        <v>108</v>
      </c>
      <c r="M13" s="50" t="s">
        <v>730</v>
      </c>
      <c r="N13" s="73" t="s">
        <v>761</v>
      </c>
      <c r="O13" s="49" t="s">
        <v>724</v>
      </c>
    </row>
    <row r="14" customFormat="false" ht="16.5" hidden="false" customHeight="true" outlineLevel="0" collapsed="false">
      <c r="A14" s="78" t="s">
        <v>762</v>
      </c>
      <c r="B14" s="78" t="s">
        <v>190</v>
      </c>
      <c r="C14" s="79" t="s">
        <v>191</v>
      </c>
      <c r="D14" s="78" t="s">
        <v>696</v>
      </c>
      <c r="E14" s="78" t="s">
        <v>579</v>
      </c>
      <c r="F14" s="78" t="s">
        <v>206</v>
      </c>
      <c r="G14" s="78" t="s">
        <v>511</v>
      </c>
      <c r="H14" s="78" t="s">
        <v>712</v>
      </c>
      <c r="I14" s="78" t="s">
        <v>88</v>
      </c>
      <c r="J14" s="78" t="s">
        <v>699</v>
      </c>
      <c r="K14" s="78" t="n">
        <v>1800</v>
      </c>
      <c r="L14" s="53" t="s">
        <v>132</v>
      </c>
      <c r="M14" s="78" t="s">
        <v>700</v>
      </c>
      <c r="N14" s="80" t="s">
        <v>763</v>
      </c>
      <c r="O14" s="52" t="s">
        <v>525</v>
      </c>
    </row>
    <row r="15" customFormat="false" ht="16.5" hidden="false" customHeight="true" outlineLevel="0" collapsed="false">
      <c r="A15" s="50" t="s">
        <v>764</v>
      </c>
      <c r="B15" s="50" t="s">
        <v>199</v>
      </c>
      <c r="C15" s="51" t="s">
        <v>200</v>
      </c>
      <c r="D15" s="50" t="s">
        <v>703</v>
      </c>
      <c r="E15" s="50" t="s">
        <v>765</v>
      </c>
      <c r="F15" s="50" t="s">
        <v>766</v>
      </c>
      <c r="G15" s="50" t="s">
        <v>517</v>
      </c>
      <c r="H15" s="50" t="s">
        <v>719</v>
      </c>
      <c r="I15" s="50" t="s">
        <v>713</v>
      </c>
      <c r="J15" s="50" t="s">
        <v>705</v>
      </c>
      <c r="K15" s="50" t="n">
        <v>750</v>
      </c>
      <c r="L15" s="55" t="s">
        <v>706</v>
      </c>
      <c r="M15" s="50" t="s">
        <v>707</v>
      </c>
      <c r="N15" s="73" t="s">
        <v>767</v>
      </c>
      <c r="O15" s="57" t="s">
        <v>738</v>
      </c>
    </row>
    <row r="16" customFormat="false" ht="16.5" hidden="false" customHeight="true" outlineLevel="0" collapsed="false">
      <c r="A16" s="78" t="s">
        <v>768</v>
      </c>
      <c r="B16" s="78" t="s">
        <v>208</v>
      </c>
      <c r="C16" s="79" t="s">
        <v>209</v>
      </c>
      <c r="D16" s="78" t="s">
        <v>710</v>
      </c>
      <c r="E16" s="78" t="s">
        <v>769</v>
      </c>
      <c r="F16" s="78" t="s">
        <v>770</v>
      </c>
      <c r="G16" s="78" t="s">
        <v>524</v>
      </c>
      <c r="H16" s="78" t="s">
        <v>728</v>
      </c>
      <c r="I16" s="78" t="s">
        <v>139</v>
      </c>
      <c r="J16" s="78" t="s">
        <v>714</v>
      </c>
      <c r="K16" s="78" t="n">
        <v>3000</v>
      </c>
      <c r="L16" s="53" t="s">
        <v>132</v>
      </c>
      <c r="M16" s="78" t="s">
        <v>730</v>
      </c>
      <c r="N16" s="80" t="s">
        <v>771</v>
      </c>
      <c r="O16" s="54" t="s">
        <v>32</v>
      </c>
    </row>
    <row r="17" customFormat="false" ht="16.5" hidden="false" customHeight="true" outlineLevel="0" collapsed="false">
      <c r="A17" s="50" t="s">
        <v>772</v>
      </c>
      <c r="B17" s="50" t="s">
        <v>216</v>
      </c>
      <c r="C17" s="51" t="s">
        <v>217</v>
      </c>
      <c r="D17" s="50" t="s">
        <v>718</v>
      </c>
      <c r="E17" s="50" t="s">
        <v>770</v>
      </c>
      <c r="F17" s="50" t="s">
        <v>773</v>
      </c>
      <c r="G17" s="50" t="s">
        <v>531</v>
      </c>
      <c r="H17" s="50" t="s">
        <v>735</v>
      </c>
      <c r="I17" s="50" t="s">
        <v>88</v>
      </c>
      <c r="J17" s="50" t="s">
        <v>720</v>
      </c>
      <c r="K17" s="50" t="n">
        <v>2500</v>
      </c>
      <c r="L17" s="74" t="s">
        <v>721</v>
      </c>
      <c r="M17" s="50" t="s">
        <v>774</v>
      </c>
      <c r="N17" s="73" t="s">
        <v>775</v>
      </c>
      <c r="O17" s="57" t="s">
        <v>519</v>
      </c>
    </row>
    <row r="18" customFormat="false" ht="16.5" hidden="false" customHeight="true" outlineLevel="0" collapsed="false">
      <c r="A18" s="78" t="s">
        <v>776</v>
      </c>
      <c r="B18" s="78" t="s">
        <v>224</v>
      </c>
      <c r="C18" s="79" t="s">
        <v>225</v>
      </c>
      <c r="D18" s="78" t="s">
        <v>726</v>
      </c>
      <c r="E18" s="78" t="s">
        <v>777</v>
      </c>
      <c r="F18" s="78" t="s">
        <v>778</v>
      </c>
      <c r="G18" s="78" t="s">
        <v>540</v>
      </c>
      <c r="H18" s="78" t="s">
        <v>724</v>
      </c>
      <c r="I18" s="78" t="s">
        <v>713</v>
      </c>
      <c r="J18" s="78" t="s">
        <v>729</v>
      </c>
      <c r="K18" s="78" t="n">
        <v>2200</v>
      </c>
      <c r="L18" s="55" t="s">
        <v>706</v>
      </c>
      <c r="M18" s="78" t="s">
        <v>730</v>
      </c>
      <c r="N18" s="80" t="s">
        <v>779</v>
      </c>
      <c r="O18" s="52" t="s">
        <v>716</v>
      </c>
    </row>
    <row r="19" customFormat="false" ht="16.5" hidden="false" customHeight="true" outlineLevel="0" collapsed="false">
      <c r="A19" s="50" t="s">
        <v>780</v>
      </c>
      <c r="B19" s="50" t="s">
        <v>232</v>
      </c>
      <c r="C19" s="51" t="s">
        <v>233</v>
      </c>
      <c r="D19" s="50" t="s">
        <v>733</v>
      </c>
      <c r="E19" s="50" t="s">
        <v>247</v>
      </c>
      <c r="F19" s="50" t="s">
        <v>781</v>
      </c>
      <c r="G19" s="50" t="s">
        <v>549</v>
      </c>
      <c r="H19" s="50" t="s">
        <v>748</v>
      </c>
      <c r="I19" s="50" t="s">
        <v>139</v>
      </c>
      <c r="J19" s="50" t="s">
        <v>736</v>
      </c>
      <c r="K19" s="50" t="n">
        <v>850</v>
      </c>
      <c r="L19" s="53" t="s">
        <v>132</v>
      </c>
      <c r="M19" s="50" t="s">
        <v>743</v>
      </c>
      <c r="N19" s="73" t="s">
        <v>701</v>
      </c>
      <c r="O19" s="49" t="s">
        <v>724</v>
      </c>
    </row>
    <row r="20" customFormat="false" ht="16.5" hidden="false" customHeight="true" outlineLevel="0" collapsed="false">
      <c r="A20" s="78" t="s">
        <v>782</v>
      </c>
      <c r="B20" s="78" t="s">
        <v>240</v>
      </c>
      <c r="C20" s="79" t="s">
        <v>241</v>
      </c>
      <c r="D20" s="78" t="s">
        <v>740</v>
      </c>
      <c r="E20" s="78" t="s">
        <v>254</v>
      </c>
      <c r="F20" s="78" t="s">
        <v>783</v>
      </c>
      <c r="G20" s="78" t="s">
        <v>557</v>
      </c>
      <c r="H20" s="78" t="s">
        <v>698</v>
      </c>
      <c r="I20" s="78" t="s">
        <v>88</v>
      </c>
      <c r="J20" s="78" t="s">
        <v>742</v>
      </c>
      <c r="K20" s="78" t="n">
        <v>2200</v>
      </c>
      <c r="L20" s="74" t="s">
        <v>721</v>
      </c>
      <c r="M20" s="78" t="s">
        <v>730</v>
      </c>
      <c r="N20" s="80" t="s">
        <v>708</v>
      </c>
      <c r="O20" s="52" t="s">
        <v>525</v>
      </c>
    </row>
    <row r="21" customFormat="false" ht="16.5" hidden="false" customHeight="true" outlineLevel="0" collapsed="false">
      <c r="A21" s="50" t="s">
        <v>784</v>
      </c>
      <c r="B21" s="50" t="s">
        <v>248</v>
      </c>
      <c r="C21" s="51" t="s">
        <v>249</v>
      </c>
      <c r="D21" s="50" t="s">
        <v>746</v>
      </c>
      <c r="E21" s="50" t="s">
        <v>785</v>
      </c>
      <c r="F21" s="50" t="s">
        <v>786</v>
      </c>
      <c r="G21" s="50" t="s">
        <v>564</v>
      </c>
      <c r="H21" s="50" t="s">
        <v>704</v>
      </c>
      <c r="I21" s="50" t="s">
        <v>713</v>
      </c>
      <c r="J21" s="50" t="s">
        <v>749</v>
      </c>
      <c r="K21" s="50" t="n">
        <v>1200</v>
      </c>
      <c r="L21" s="53" t="s">
        <v>132</v>
      </c>
      <c r="M21" s="50" t="s">
        <v>787</v>
      </c>
      <c r="N21" s="73" t="s">
        <v>715</v>
      </c>
      <c r="O21" s="57" t="s">
        <v>738</v>
      </c>
    </row>
    <row r="22" customFormat="false" ht="16.5" hidden="false" customHeight="true" outlineLevel="0" collapsed="false">
      <c r="A22" s="78" t="s">
        <v>788</v>
      </c>
      <c r="B22" s="78" t="s">
        <v>256</v>
      </c>
      <c r="C22" s="79" t="s">
        <v>257</v>
      </c>
      <c r="D22" s="78" t="s">
        <v>753</v>
      </c>
      <c r="E22" s="78" t="s">
        <v>789</v>
      </c>
      <c r="F22" s="78" t="s">
        <v>790</v>
      </c>
      <c r="G22" s="78" t="s">
        <v>570</v>
      </c>
      <c r="H22" s="78" t="s">
        <v>712</v>
      </c>
      <c r="I22" s="78" t="s">
        <v>139</v>
      </c>
      <c r="J22" s="78" t="s">
        <v>755</v>
      </c>
      <c r="K22" s="78" t="n">
        <v>650</v>
      </c>
      <c r="L22" s="55" t="s">
        <v>706</v>
      </c>
      <c r="M22" s="78" t="s">
        <v>750</v>
      </c>
      <c r="N22" s="80" t="s">
        <v>723</v>
      </c>
      <c r="O22" s="54" t="s">
        <v>32</v>
      </c>
    </row>
    <row r="23" customFormat="false" ht="16.5" hidden="false" customHeight="true" outlineLevel="0" collapsed="false">
      <c r="A23" s="50" t="s">
        <v>791</v>
      </c>
      <c r="B23" s="50" t="s">
        <v>264</v>
      </c>
      <c r="C23" s="51" t="s">
        <v>265</v>
      </c>
      <c r="D23" s="50" t="s">
        <v>758</v>
      </c>
      <c r="E23" s="50" t="s">
        <v>792</v>
      </c>
      <c r="F23" s="50" t="s">
        <v>793</v>
      </c>
      <c r="G23" s="50" t="s">
        <v>576</v>
      </c>
      <c r="H23" s="50" t="s">
        <v>719</v>
      </c>
      <c r="I23" s="50" t="s">
        <v>88</v>
      </c>
      <c r="J23" s="50" t="s">
        <v>760</v>
      </c>
      <c r="K23" s="50" t="n">
        <v>1200</v>
      </c>
      <c r="L23" s="48" t="s">
        <v>108</v>
      </c>
      <c r="M23" s="50" t="s">
        <v>787</v>
      </c>
      <c r="N23" s="73" t="s">
        <v>731</v>
      </c>
      <c r="O23" s="57" t="s">
        <v>519</v>
      </c>
    </row>
    <row r="24" customFormat="false" ht="16.5" hidden="false" customHeight="true" outlineLevel="0" collapsed="false">
      <c r="A24" s="78" t="s">
        <v>794</v>
      </c>
      <c r="B24" s="78" t="s">
        <v>272</v>
      </c>
      <c r="C24" s="79" t="s">
        <v>273</v>
      </c>
      <c r="D24" s="78" t="s">
        <v>696</v>
      </c>
      <c r="E24" s="78" t="s">
        <v>795</v>
      </c>
      <c r="F24" s="78" t="s">
        <v>796</v>
      </c>
      <c r="G24" s="78" t="s">
        <v>511</v>
      </c>
      <c r="H24" s="78" t="s">
        <v>728</v>
      </c>
      <c r="I24" s="78" t="s">
        <v>713</v>
      </c>
      <c r="J24" s="78" t="s">
        <v>699</v>
      </c>
      <c r="K24" s="78" t="n">
        <v>650</v>
      </c>
      <c r="L24" s="53" t="s">
        <v>132</v>
      </c>
      <c r="M24" s="78" t="s">
        <v>730</v>
      </c>
      <c r="N24" s="80" t="s">
        <v>737</v>
      </c>
      <c r="O24" s="52" t="s">
        <v>716</v>
      </c>
    </row>
    <row r="25" customFormat="false" ht="16.5" hidden="false" customHeight="true" outlineLevel="0" collapsed="false">
      <c r="A25" s="50" t="s">
        <v>797</v>
      </c>
      <c r="B25" s="50" t="s">
        <v>279</v>
      </c>
      <c r="C25" s="51" t="s">
        <v>280</v>
      </c>
      <c r="D25" s="50" t="s">
        <v>703</v>
      </c>
      <c r="E25" s="50" t="s">
        <v>293</v>
      </c>
      <c r="F25" s="50" t="s">
        <v>798</v>
      </c>
      <c r="G25" s="50" t="s">
        <v>517</v>
      </c>
      <c r="H25" s="50" t="s">
        <v>735</v>
      </c>
      <c r="I25" s="50" t="s">
        <v>139</v>
      </c>
      <c r="J25" s="50" t="s">
        <v>705</v>
      </c>
      <c r="K25" s="50" t="n">
        <v>850</v>
      </c>
      <c r="L25" s="55" t="s">
        <v>706</v>
      </c>
      <c r="M25" s="50" t="s">
        <v>707</v>
      </c>
      <c r="N25" s="73" t="s">
        <v>744</v>
      </c>
      <c r="O25" s="49" t="s">
        <v>724</v>
      </c>
    </row>
    <row r="26" customFormat="false" ht="16.5" hidden="false" customHeight="true" outlineLevel="0" collapsed="false">
      <c r="A26" s="78" t="s">
        <v>799</v>
      </c>
      <c r="B26" s="78" t="s">
        <v>287</v>
      </c>
      <c r="C26" s="79" t="s">
        <v>288</v>
      </c>
      <c r="D26" s="78" t="s">
        <v>710</v>
      </c>
      <c r="E26" s="78" t="s">
        <v>800</v>
      </c>
      <c r="F26" s="78" t="s">
        <v>679</v>
      </c>
      <c r="G26" s="78" t="s">
        <v>524</v>
      </c>
      <c r="H26" s="78" t="s">
        <v>724</v>
      </c>
      <c r="I26" s="78" t="s">
        <v>88</v>
      </c>
      <c r="J26" s="78" t="s">
        <v>714</v>
      </c>
      <c r="K26" s="78" t="n">
        <v>1500</v>
      </c>
      <c r="L26" s="53" t="s">
        <v>132</v>
      </c>
      <c r="M26" s="78" t="s">
        <v>707</v>
      </c>
      <c r="N26" s="80" t="s">
        <v>751</v>
      </c>
      <c r="O26" s="52" t="s">
        <v>525</v>
      </c>
    </row>
    <row r="27" customFormat="false" ht="16.5" hidden="false" customHeight="true" outlineLevel="0" collapsed="false">
      <c r="A27" s="50" t="s">
        <v>801</v>
      </c>
      <c r="B27" s="50" t="s">
        <v>294</v>
      </c>
      <c r="C27" s="51" t="s">
        <v>295</v>
      </c>
      <c r="D27" s="50" t="s">
        <v>718</v>
      </c>
      <c r="E27" s="50" t="s">
        <v>802</v>
      </c>
      <c r="F27" s="50" t="s">
        <v>803</v>
      </c>
      <c r="G27" s="50" t="s">
        <v>531</v>
      </c>
      <c r="H27" s="50" t="s">
        <v>748</v>
      </c>
      <c r="I27" s="50" t="s">
        <v>713</v>
      </c>
      <c r="J27" s="50" t="s">
        <v>720</v>
      </c>
      <c r="K27" s="50" t="n">
        <v>650</v>
      </c>
      <c r="L27" s="74" t="s">
        <v>721</v>
      </c>
      <c r="M27" s="50" t="s">
        <v>774</v>
      </c>
      <c r="N27" s="73" t="s">
        <v>756</v>
      </c>
      <c r="O27" s="57" t="s">
        <v>738</v>
      </c>
    </row>
    <row r="28" customFormat="false" ht="16.5" hidden="false" customHeight="true" outlineLevel="0" collapsed="false">
      <c r="A28" s="78" t="s">
        <v>804</v>
      </c>
      <c r="B28" s="78" t="s">
        <v>301</v>
      </c>
      <c r="C28" s="79" t="s">
        <v>302</v>
      </c>
      <c r="D28" s="78" t="s">
        <v>726</v>
      </c>
      <c r="E28" s="78" t="s">
        <v>803</v>
      </c>
      <c r="F28" s="78" t="s">
        <v>805</v>
      </c>
      <c r="G28" s="78" t="s">
        <v>540</v>
      </c>
      <c r="H28" s="78" t="s">
        <v>698</v>
      </c>
      <c r="I28" s="78" t="s">
        <v>139</v>
      </c>
      <c r="J28" s="78" t="s">
        <v>729</v>
      </c>
      <c r="K28" s="78" t="n">
        <v>650</v>
      </c>
      <c r="L28" s="55" t="s">
        <v>706</v>
      </c>
      <c r="M28" s="78" t="s">
        <v>743</v>
      </c>
      <c r="N28" s="80" t="s">
        <v>761</v>
      </c>
      <c r="O28" s="54" t="s">
        <v>32</v>
      </c>
    </row>
    <row r="29" customFormat="false" ht="16.5" hidden="false" customHeight="true" outlineLevel="0" collapsed="false">
      <c r="A29" s="50" t="s">
        <v>806</v>
      </c>
      <c r="B29" s="50" t="s">
        <v>309</v>
      </c>
      <c r="C29" s="51" t="s">
        <v>310</v>
      </c>
      <c r="D29" s="50" t="s">
        <v>733</v>
      </c>
      <c r="E29" s="50" t="s">
        <v>807</v>
      </c>
      <c r="F29" s="50" t="s">
        <v>631</v>
      </c>
      <c r="G29" s="50" t="s">
        <v>549</v>
      </c>
      <c r="H29" s="50" t="s">
        <v>704</v>
      </c>
      <c r="I29" s="50" t="s">
        <v>88</v>
      </c>
      <c r="J29" s="50" t="s">
        <v>736</v>
      </c>
      <c r="K29" s="50" t="n">
        <v>750</v>
      </c>
      <c r="L29" s="53" t="s">
        <v>132</v>
      </c>
      <c r="M29" s="50" t="s">
        <v>722</v>
      </c>
      <c r="N29" s="73" t="s">
        <v>763</v>
      </c>
      <c r="O29" s="57" t="s">
        <v>519</v>
      </c>
    </row>
    <row r="30" customFormat="false" ht="16.5" hidden="false" customHeight="true" outlineLevel="0" collapsed="false">
      <c r="A30" s="78" t="s">
        <v>808</v>
      </c>
      <c r="B30" s="78" t="s">
        <v>317</v>
      </c>
      <c r="C30" s="79" t="s">
        <v>318</v>
      </c>
      <c r="D30" s="78" t="s">
        <v>740</v>
      </c>
      <c r="E30" s="78" t="s">
        <v>809</v>
      </c>
      <c r="F30" s="78" t="s">
        <v>343</v>
      </c>
      <c r="G30" s="78" t="s">
        <v>557</v>
      </c>
      <c r="H30" s="78" t="s">
        <v>712</v>
      </c>
      <c r="I30" s="78" t="s">
        <v>713</v>
      </c>
      <c r="J30" s="78" t="s">
        <v>742</v>
      </c>
      <c r="K30" s="78" t="n">
        <v>650</v>
      </c>
      <c r="L30" s="74" t="s">
        <v>721</v>
      </c>
      <c r="M30" s="78" t="s">
        <v>743</v>
      </c>
      <c r="N30" s="80" t="s">
        <v>767</v>
      </c>
      <c r="O30" s="52" t="s">
        <v>716</v>
      </c>
    </row>
    <row r="31" customFormat="false" ht="16.5" hidden="false" customHeight="true" outlineLevel="0" collapsed="false">
      <c r="A31" s="50" t="s">
        <v>810</v>
      </c>
      <c r="B31" s="50" t="s">
        <v>324</v>
      </c>
      <c r="C31" s="51" t="s">
        <v>325</v>
      </c>
      <c r="D31" s="50" t="s">
        <v>746</v>
      </c>
      <c r="E31" s="50" t="s">
        <v>811</v>
      </c>
      <c r="F31" s="50" t="s">
        <v>635</v>
      </c>
      <c r="G31" s="50" t="s">
        <v>564</v>
      </c>
      <c r="H31" s="50" t="s">
        <v>719</v>
      </c>
      <c r="I31" s="50" t="s">
        <v>139</v>
      </c>
      <c r="J31" s="50" t="s">
        <v>749</v>
      </c>
      <c r="K31" s="50" t="n">
        <v>300</v>
      </c>
      <c r="L31" s="53" t="s">
        <v>132</v>
      </c>
      <c r="M31" s="50" t="s">
        <v>700</v>
      </c>
      <c r="N31" s="73" t="s">
        <v>771</v>
      </c>
      <c r="O31" s="49" t="s">
        <v>724</v>
      </c>
    </row>
    <row r="32" customFormat="false" ht="16.5" hidden="false" customHeight="true" outlineLevel="0" collapsed="false">
      <c r="A32" s="78" t="s">
        <v>812</v>
      </c>
      <c r="B32" s="78" t="s">
        <v>331</v>
      </c>
      <c r="C32" s="79" t="s">
        <v>332</v>
      </c>
      <c r="D32" s="78" t="s">
        <v>753</v>
      </c>
      <c r="E32" s="78" t="s">
        <v>813</v>
      </c>
      <c r="F32" s="78" t="s">
        <v>814</v>
      </c>
      <c r="G32" s="78" t="s">
        <v>570</v>
      </c>
      <c r="H32" s="78" t="s">
        <v>728</v>
      </c>
      <c r="I32" s="78" t="s">
        <v>88</v>
      </c>
      <c r="J32" s="78" t="s">
        <v>755</v>
      </c>
      <c r="K32" s="78" t="n">
        <v>1800</v>
      </c>
      <c r="L32" s="55" t="s">
        <v>706</v>
      </c>
      <c r="M32" s="78" t="s">
        <v>730</v>
      </c>
      <c r="N32" s="80" t="s">
        <v>775</v>
      </c>
      <c r="O32" s="52" t="s">
        <v>525</v>
      </c>
    </row>
    <row r="33" customFormat="false" ht="16.5" hidden="false" customHeight="true" outlineLevel="0" collapsed="false">
      <c r="A33" s="50" t="s">
        <v>815</v>
      </c>
      <c r="B33" s="50" t="s">
        <v>338</v>
      </c>
      <c r="C33" s="51" t="s">
        <v>339</v>
      </c>
      <c r="D33" s="50" t="s">
        <v>758</v>
      </c>
      <c r="E33" s="50" t="s">
        <v>816</v>
      </c>
      <c r="F33" s="50" t="s">
        <v>817</v>
      </c>
      <c r="G33" s="50" t="s">
        <v>576</v>
      </c>
      <c r="H33" s="50" t="s">
        <v>735</v>
      </c>
      <c r="I33" s="50" t="s">
        <v>713</v>
      </c>
      <c r="J33" s="50" t="s">
        <v>760</v>
      </c>
      <c r="K33" s="50" t="n">
        <v>2500</v>
      </c>
      <c r="L33" s="48" t="s">
        <v>108</v>
      </c>
      <c r="M33" s="50" t="s">
        <v>774</v>
      </c>
      <c r="N33" s="73" t="s">
        <v>779</v>
      </c>
      <c r="O33" s="57" t="s">
        <v>738</v>
      </c>
    </row>
    <row r="34" customFormat="false" ht="16.5" hidden="false" customHeight="true" outlineLevel="0" collapsed="false">
      <c r="A34" s="78" t="s">
        <v>818</v>
      </c>
      <c r="B34" s="78" t="s">
        <v>345</v>
      </c>
      <c r="C34" s="79" t="s">
        <v>346</v>
      </c>
      <c r="D34" s="78" t="s">
        <v>696</v>
      </c>
      <c r="E34" s="78" t="s">
        <v>819</v>
      </c>
      <c r="F34" s="78" t="s">
        <v>643</v>
      </c>
      <c r="G34" s="78" t="s">
        <v>511</v>
      </c>
      <c r="H34" s="78" t="s">
        <v>724</v>
      </c>
      <c r="I34" s="78" t="s">
        <v>139</v>
      </c>
      <c r="J34" s="78" t="s">
        <v>699</v>
      </c>
      <c r="K34" s="78" t="n">
        <v>2200</v>
      </c>
      <c r="L34" s="53" t="s">
        <v>132</v>
      </c>
      <c r="M34" s="78" t="s">
        <v>722</v>
      </c>
      <c r="N34" s="80" t="s">
        <v>701</v>
      </c>
      <c r="O34" s="54" t="s">
        <v>32</v>
      </c>
    </row>
    <row r="35" customFormat="false" ht="16.5" hidden="false" customHeight="true" outlineLevel="0" collapsed="false">
      <c r="A35" s="50" t="s">
        <v>820</v>
      </c>
      <c r="B35" s="50" t="s">
        <v>353</v>
      </c>
      <c r="C35" s="51" t="s">
        <v>354</v>
      </c>
      <c r="D35" s="50" t="s">
        <v>703</v>
      </c>
      <c r="E35" s="50" t="s">
        <v>821</v>
      </c>
      <c r="F35" s="50" t="s">
        <v>380</v>
      </c>
      <c r="G35" s="50" t="s">
        <v>517</v>
      </c>
      <c r="H35" s="50" t="s">
        <v>748</v>
      </c>
      <c r="I35" s="50" t="s">
        <v>88</v>
      </c>
      <c r="J35" s="50" t="s">
        <v>705</v>
      </c>
      <c r="K35" s="50" t="n">
        <v>2200</v>
      </c>
      <c r="L35" s="55" t="s">
        <v>706</v>
      </c>
      <c r="M35" s="50" t="s">
        <v>743</v>
      </c>
      <c r="N35" s="73" t="s">
        <v>708</v>
      </c>
      <c r="O35" s="57" t="s">
        <v>519</v>
      </c>
    </row>
    <row r="36" customFormat="false" ht="16.5" hidden="false" customHeight="true" outlineLevel="0" collapsed="false">
      <c r="A36" s="78" t="s">
        <v>822</v>
      </c>
      <c r="B36" s="78" t="s">
        <v>360</v>
      </c>
      <c r="C36" s="79" t="s">
        <v>361</v>
      </c>
      <c r="D36" s="78" t="s">
        <v>710</v>
      </c>
      <c r="E36" s="78" t="s">
        <v>823</v>
      </c>
      <c r="F36" s="78" t="s">
        <v>647</v>
      </c>
      <c r="G36" s="78" t="s">
        <v>524</v>
      </c>
      <c r="H36" s="78" t="s">
        <v>698</v>
      </c>
      <c r="I36" s="78" t="s">
        <v>713</v>
      </c>
      <c r="J36" s="78" t="s">
        <v>714</v>
      </c>
      <c r="K36" s="78" t="n">
        <v>1200</v>
      </c>
      <c r="L36" s="53" t="s">
        <v>132</v>
      </c>
      <c r="M36" s="78" t="s">
        <v>750</v>
      </c>
      <c r="N36" s="80" t="s">
        <v>715</v>
      </c>
      <c r="O36" s="52" t="s">
        <v>716</v>
      </c>
    </row>
    <row r="37" customFormat="false" ht="16.5" hidden="false" customHeight="true" outlineLevel="0" collapsed="false">
      <c r="A37" s="50" t="s">
        <v>824</v>
      </c>
      <c r="B37" s="50" t="s">
        <v>367</v>
      </c>
      <c r="C37" s="51" t="s">
        <v>368</v>
      </c>
      <c r="D37" s="50" t="s">
        <v>718</v>
      </c>
      <c r="E37" s="50" t="s">
        <v>649</v>
      </c>
      <c r="F37" s="50" t="s">
        <v>825</v>
      </c>
      <c r="G37" s="50" t="s">
        <v>531</v>
      </c>
      <c r="H37" s="50" t="s">
        <v>704</v>
      </c>
      <c r="I37" s="50" t="s">
        <v>139</v>
      </c>
      <c r="J37" s="50" t="s">
        <v>720</v>
      </c>
      <c r="K37" s="50" t="n">
        <v>1800</v>
      </c>
      <c r="L37" s="74" t="s">
        <v>721</v>
      </c>
      <c r="M37" s="50" t="s">
        <v>743</v>
      </c>
      <c r="N37" s="73" t="s">
        <v>723</v>
      </c>
      <c r="O37" s="49" t="s">
        <v>724</v>
      </c>
    </row>
    <row r="38" customFormat="false" ht="16.5" hidden="false" customHeight="true" outlineLevel="0" collapsed="false">
      <c r="A38" s="78" t="s">
        <v>826</v>
      </c>
      <c r="B38" s="78" t="s">
        <v>374</v>
      </c>
      <c r="C38" s="79" t="s">
        <v>375</v>
      </c>
      <c r="D38" s="78" t="s">
        <v>726</v>
      </c>
      <c r="E38" s="78" t="s">
        <v>651</v>
      </c>
      <c r="F38" s="78" t="s">
        <v>653</v>
      </c>
      <c r="G38" s="78" t="s">
        <v>540</v>
      </c>
      <c r="H38" s="78" t="s">
        <v>712</v>
      </c>
      <c r="I38" s="78" t="s">
        <v>88</v>
      </c>
      <c r="J38" s="78" t="s">
        <v>729</v>
      </c>
      <c r="K38" s="78" t="n">
        <v>3000</v>
      </c>
      <c r="L38" s="55" t="s">
        <v>706</v>
      </c>
      <c r="M38" s="78" t="s">
        <v>787</v>
      </c>
      <c r="N38" s="80" t="s">
        <v>731</v>
      </c>
      <c r="O38" s="52" t="s">
        <v>525</v>
      </c>
    </row>
    <row r="39" customFormat="false" ht="16.5" hidden="false" customHeight="true" outlineLevel="0" collapsed="false">
      <c r="A39" s="50" t="s">
        <v>827</v>
      </c>
      <c r="B39" s="50" t="s">
        <v>381</v>
      </c>
      <c r="C39" s="51" t="s">
        <v>382</v>
      </c>
      <c r="D39" s="50" t="s">
        <v>733</v>
      </c>
      <c r="E39" s="50" t="s">
        <v>653</v>
      </c>
      <c r="F39" s="50" t="s">
        <v>828</v>
      </c>
      <c r="G39" s="50" t="s">
        <v>549</v>
      </c>
      <c r="H39" s="50" t="s">
        <v>719</v>
      </c>
      <c r="I39" s="50" t="s">
        <v>713</v>
      </c>
      <c r="J39" s="50" t="s">
        <v>736</v>
      </c>
      <c r="K39" s="50" t="n">
        <v>700</v>
      </c>
      <c r="L39" s="53" t="s">
        <v>132</v>
      </c>
      <c r="M39" s="50" t="s">
        <v>787</v>
      </c>
      <c r="N39" s="73" t="s">
        <v>737</v>
      </c>
      <c r="O39" s="57" t="s">
        <v>738</v>
      </c>
    </row>
    <row r="40" customFormat="false" ht="16.5" hidden="false" customHeight="true" outlineLevel="0" collapsed="false">
      <c r="A40" s="78" t="s">
        <v>829</v>
      </c>
      <c r="B40" s="78" t="s">
        <v>388</v>
      </c>
      <c r="C40" s="79" t="s">
        <v>389</v>
      </c>
      <c r="D40" s="78" t="s">
        <v>740</v>
      </c>
      <c r="E40" s="78" t="s">
        <v>656</v>
      </c>
      <c r="F40" s="78" t="s">
        <v>423</v>
      </c>
      <c r="G40" s="78" t="s">
        <v>557</v>
      </c>
      <c r="H40" s="78" t="s">
        <v>728</v>
      </c>
      <c r="I40" s="78" t="s">
        <v>139</v>
      </c>
      <c r="J40" s="78" t="s">
        <v>742</v>
      </c>
      <c r="K40" s="78" t="n">
        <v>500</v>
      </c>
      <c r="L40" s="74" t="s">
        <v>721</v>
      </c>
      <c r="M40" s="78" t="s">
        <v>730</v>
      </c>
      <c r="N40" s="80" t="s">
        <v>744</v>
      </c>
      <c r="O40" s="54" t="s">
        <v>32</v>
      </c>
    </row>
    <row r="41" customFormat="false" ht="16.5" hidden="false" customHeight="true" outlineLevel="0" collapsed="false">
      <c r="A41" s="50" t="s">
        <v>830</v>
      </c>
      <c r="B41" s="50" t="s">
        <v>395</v>
      </c>
      <c r="C41" s="51" t="s">
        <v>396</v>
      </c>
      <c r="D41" s="50" t="s">
        <v>746</v>
      </c>
      <c r="E41" s="50" t="s">
        <v>659</v>
      </c>
      <c r="F41" s="50" t="s">
        <v>831</v>
      </c>
      <c r="G41" s="50" t="s">
        <v>564</v>
      </c>
      <c r="H41" s="50" t="s">
        <v>735</v>
      </c>
      <c r="I41" s="50" t="s">
        <v>88</v>
      </c>
      <c r="J41" s="50" t="s">
        <v>749</v>
      </c>
      <c r="K41" s="50" t="n">
        <v>3000</v>
      </c>
      <c r="L41" s="53" t="s">
        <v>132</v>
      </c>
      <c r="M41" s="50" t="s">
        <v>743</v>
      </c>
      <c r="N41" s="73" t="s">
        <v>751</v>
      </c>
      <c r="O41" s="57" t="s">
        <v>519</v>
      </c>
    </row>
    <row r="42" customFormat="false" ht="16.5" hidden="false" customHeight="true" outlineLevel="0" collapsed="false">
      <c r="A42" s="78" t="s">
        <v>832</v>
      </c>
      <c r="B42" s="78" t="s">
        <v>402</v>
      </c>
      <c r="C42" s="79" t="s">
        <v>403</v>
      </c>
      <c r="D42" s="78" t="s">
        <v>753</v>
      </c>
      <c r="E42" s="78" t="s">
        <v>661</v>
      </c>
      <c r="F42" s="78" t="s">
        <v>833</v>
      </c>
      <c r="G42" s="78" t="s">
        <v>570</v>
      </c>
      <c r="H42" s="78" t="s">
        <v>724</v>
      </c>
      <c r="I42" s="78" t="s">
        <v>713</v>
      </c>
      <c r="J42" s="78" t="s">
        <v>755</v>
      </c>
      <c r="K42" s="78" t="n">
        <v>3000</v>
      </c>
      <c r="L42" s="55" t="s">
        <v>706</v>
      </c>
      <c r="M42" s="78" t="s">
        <v>707</v>
      </c>
      <c r="N42" s="80" t="s">
        <v>756</v>
      </c>
      <c r="O42" s="52" t="s">
        <v>716</v>
      </c>
    </row>
    <row r="43" customFormat="false" ht="16.5" hidden="false" customHeight="true" outlineLevel="0" collapsed="false">
      <c r="A43" s="50" t="s">
        <v>834</v>
      </c>
      <c r="B43" s="50" t="s">
        <v>410</v>
      </c>
      <c r="C43" s="51" t="s">
        <v>411</v>
      </c>
      <c r="D43" s="50" t="s">
        <v>758</v>
      </c>
      <c r="E43" s="50" t="s">
        <v>663</v>
      </c>
      <c r="F43" s="50" t="s">
        <v>835</v>
      </c>
      <c r="G43" s="50" t="s">
        <v>576</v>
      </c>
      <c r="H43" s="50" t="s">
        <v>748</v>
      </c>
      <c r="I43" s="50" t="s">
        <v>139</v>
      </c>
      <c r="J43" s="50" t="s">
        <v>760</v>
      </c>
      <c r="K43" s="50" t="n">
        <v>8500</v>
      </c>
      <c r="L43" s="48" t="s">
        <v>108</v>
      </c>
      <c r="M43" s="50" t="s">
        <v>750</v>
      </c>
      <c r="N43" s="73" t="s">
        <v>761</v>
      </c>
      <c r="O43" s="49" t="s">
        <v>724</v>
      </c>
    </row>
    <row r="44" customFormat="false" ht="16.5" hidden="false" customHeight="true" outlineLevel="0" collapsed="false">
      <c r="A44" s="78" t="s">
        <v>836</v>
      </c>
      <c r="B44" s="78" t="s">
        <v>417</v>
      </c>
      <c r="C44" s="79" t="s">
        <v>418</v>
      </c>
      <c r="D44" s="78" t="s">
        <v>696</v>
      </c>
      <c r="E44" s="78" t="s">
        <v>665</v>
      </c>
      <c r="F44" s="78" t="s">
        <v>837</v>
      </c>
      <c r="G44" s="78" t="s">
        <v>511</v>
      </c>
      <c r="H44" s="78" t="s">
        <v>698</v>
      </c>
      <c r="I44" s="78" t="s">
        <v>88</v>
      </c>
      <c r="J44" s="78" t="s">
        <v>699</v>
      </c>
      <c r="K44" s="78" t="n">
        <v>3000</v>
      </c>
      <c r="L44" s="53" t="s">
        <v>132</v>
      </c>
      <c r="M44" s="78" t="s">
        <v>722</v>
      </c>
      <c r="N44" s="80" t="s">
        <v>763</v>
      </c>
      <c r="O44" s="52" t="s">
        <v>525</v>
      </c>
    </row>
    <row r="45" customFormat="false" ht="16.5" hidden="false" customHeight="true" outlineLevel="0" collapsed="false">
      <c r="A45" s="50" t="s">
        <v>838</v>
      </c>
      <c r="B45" s="50" t="s">
        <v>424</v>
      </c>
      <c r="C45" s="51" t="s">
        <v>425</v>
      </c>
      <c r="D45" s="50" t="s">
        <v>703</v>
      </c>
      <c r="E45" s="50" t="s">
        <v>667</v>
      </c>
      <c r="F45" s="50" t="s">
        <v>839</v>
      </c>
      <c r="G45" s="50" t="s">
        <v>517</v>
      </c>
      <c r="H45" s="50" t="s">
        <v>704</v>
      </c>
      <c r="I45" s="50" t="s">
        <v>713</v>
      </c>
      <c r="J45" s="50" t="s">
        <v>705</v>
      </c>
      <c r="K45" s="50" t="n">
        <v>850</v>
      </c>
      <c r="L45" s="55" t="s">
        <v>706</v>
      </c>
      <c r="M45" s="50" t="s">
        <v>787</v>
      </c>
      <c r="N45" s="73" t="s">
        <v>767</v>
      </c>
      <c r="O45" s="57" t="s">
        <v>738</v>
      </c>
    </row>
    <row r="46" customFormat="false" ht="16.5" hidden="false" customHeight="true" outlineLevel="0" collapsed="false">
      <c r="A46" s="78" t="s">
        <v>840</v>
      </c>
      <c r="B46" s="78" t="s">
        <v>431</v>
      </c>
      <c r="C46" s="79" t="s">
        <v>432</v>
      </c>
      <c r="D46" s="78" t="s">
        <v>710</v>
      </c>
      <c r="E46" s="78" t="s">
        <v>669</v>
      </c>
      <c r="F46" s="78" t="s">
        <v>841</v>
      </c>
      <c r="G46" s="78" t="s">
        <v>524</v>
      </c>
      <c r="H46" s="78" t="s">
        <v>712</v>
      </c>
      <c r="I46" s="78" t="s">
        <v>139</v>
      </c>
      <c r="J46" s="78" t="s">
        <v>714</v>
      </c>
      <c r="K46" s="78" t="n">
        <v>8500</v>
      </c>
      <c r="L46" s="53" t="s">
        <v>132</v>
      </c>
      <c r="M46" s="78" t="s">
        <v>787</v>
      </c>
      <c r="N46" s="80" t="s">
        <v>771</v>
      </c>
      <c r="O46" s="54" t="s">
        <v>32</v>
      </c>
    </row>
    <row r="47" customFormat="false" ht="16.5" hidden="false" customHeight="true" outlineLevel="0" collapsed="false">
      <c r="A47" s="50" t="s">
        <v>842</v>
      </c>
      <c r="B47" s="50" t="s">
        <v>439</v>
      </c>
      <c r="C47" s="51" t="s">
        <v>440</v>
      </c>
      <c r="D47" s="50" t="s">
        <v>718</v>
      </c>
      <c r="E47" s="50" t="s">
        <v>672</v>
      </c>
      <c r="F47" s="50" t="s">
        <v>473</v>
      </c>
      <c r="G47" s="50" t="s">
        <v>531</v>
      </c>
      <c r="H47" s="50" t="s">
        <v>719</v>
      </c>
      <c r="I47" s="50" t="s">
        <v>88</v>
      </c>
      <c r="J47" s="50" t="s">
        <v>720</v>
      </c>
      <c r="K47" s="50" t="n">
        <v>2500</v>
      </c>
      <c r="L47" s="74" t="s">
        <v>721</v>
      </c>
      <c r="M47" s="50" t="s">
        <v>722</v>
      </c>
      <c r="N47" s="73" t="s">
        <v>775</v>
      </c>
      <c r="O47" s="57" t="s">
        <v>519</v>
      </c>
    </row>
    <row r="48" customFormat="false" ht="16.5" hidden="false" customHeight="true" outlineLevel="0" collapsed="false">
      <c r="A48" s="78" t="s">
        <v>843</v>
      </c>
      <c r="B48" s="78" t="s">
        <v>446</v>
      </c>
      <c r="C48" s="79" t="s">
        <v>447</v>
      </c>
      <c r="D48" s="78" t="s">
        <v>726</v>
      </c>
      <c r="E48" s="78" t="s">
        <v>844</v>
      </c>
      <c r="F48" s="78" t="s">
        <v>845</v>
      </c>
      <c r="G48" s="78" t="s">
        <v>540</v>
      </c>
      <c r="H48" s="78" t="s">
        <v>728</v>
      </c>
      <c r="I48" s="78" t="s">
        <v>713</v>
      </c>
      <c r="J48" s="78" t="s">
        <v>729</v>
      </c>
      <c r="K48" s="78" t="n">
        <v>300</v>
      </c>
      <c r="L48" s="55" t="s">
        <v>706</v>
      </c>
      <c r="M48" s="78" t="s">
        <v>787</v>
      </c>
      <c r="N48" s="80" t="s">
        <v>779</v>
      </c>
      <c r="O48" s="52" t="s">
        <v>716</v>
      </c>
    </row>
    <row r="49" customFormat="false" ht="16.5" hidden="false" customHeight="true" outlineLevel="0" collapsed="false">
      <c r="A49" s="50" t="s">
        <v>846</v>
      </c>
      <c r="B49" s="50" t="s">
        <v>453</v>
      </c>
      <c r="C49" s="51" t="s">
        <v>454</v>
      </c>
      <c r="D49" s="50" t="s">
        <v>733</v>
      </c>
      <c r="E49" s="50" t="s">
        <v>847</v>
      </c>
      <c r="F49" s="50" t="s">
        <v>848</v>
      </c>
      <c r="G49" s="50" t="s">
        <v>549</v>
      </c>
      <c r="H49" s="50" t="s">
        <v>735</v>
      </c>
      <c r="I49" s="50" t="s">
        <v>139</v>
      </c>
      <c r="J49" s="50" t="s">
        <v>736</v>
      </c>
      <c r="K49" s="50" t="n">
        <v>1500</v>
      </c>
      <c r="L49" s="53" t="s">
        <v>132</v>
      </c>
      <c r="M49" s="50" t="s">
        <v>722</v>
      </c>
      <c r="N49" s="73" t="s">
        <v>701</v>
      </c>
      <c r="O49" s="49" t="s">
        <v>724</v>
      </c>
    </row>
    <row r="50" customFormat="false" ht="16.5" hidden="false" customHeight="true" outlineLevel="0" collapsed="false">
      <c r="A50" s="78" t="s">
        <v>849</v>
      </c>
      <c r="B50" s="78" t="s">
        <v>460</v>
      </c>
      <c r="C50" s="79" t="s">
        <v>461</v>
      </c>
      <c r="D50" s="78" t="s">
        <v>740</v>
      </c>
      <c r="E50" s="78" t="s">
        <v>848</v>
      </c>
      <c r="F50" s="78" t="s">
        <v>850</v>
      </c>
      <c r="G50" s="78" t="s">
        <v>557</v>
      </c>
      <c r="H50" s="78" t="s">
        <v>724</v>
      </c>
      <c r="I50" s="78" t="s">
        <v>88</v>
      </c>
      <c r="J50" s="78" t="s">
        <v>742</v>
      </c>
      <c r="K50" s="78" t="n">
        <v>8500</v>
      </c>
      <c r="L50" s="74" t="s">
        <v>721</v>
      </c>
      <c r="M50" s="78" t="s">
        <v>730</v>
      </c>
      <c r="N50" s="80" t="s">
        <v>708</v>
      </c>
      <c r="O50" s="52" t="s">
        <v>525</v>
      </c>
    </row>
    <row r="51" customFormat="false" ht="16.5" hidden="false" customHeight="true" outlineLevel="0" collapsed="false">
      <c r="A51" s="50" t="s">
        <v>851</v>
      </c>
      <c r="B51" s="50" t="s">
        <v>468</v>
      </c>
      <c r="C51" s="51" t="s">
        <v>469</v>
      </c>
      <c r="D51" s="50" t="s">
        <v>746</v>
      </c>
      <c r="E51" s="50" t="s">
        <v>852</v>
      </c>
      <c r="F51" s="50" t="s">
        <v>853</v>
      </c>
      <c r="G51" s="50" t="s">
        <v>564</v>
      </c>
      <c r="H51" s="50" t="s">
        <v>748</v>
      </c>
      <c r="I51" s="50" t="s">
        <v>713</v>
      </c>
      <c r="J51" s="50" t="s">
        <v>749</v>
      </c>
      <c r="K51" s="50" t="n">
        <v>2500</v>
      </c>
      <c r="L51" s="53" t="s">
        <v>132</v>
      </c>
      <c r="M51" s="50" t="s">
        <v>750</v>
      </c>
      <c r="N51" s="73" t="s">
        <v>715</v>
      </c>
      <c r="O51" s="57" t="s">
        <v>738</v>
      </c>
    </row>
    <row r="52" customFormat="false" ht="16.5" hidden="false" customHeight="true" outlineLevel="0" collapsed="false">
      <c r="A52" s="78" t="s">
        <v>854</v>
      </c>
      <c r="B52" s="78" t="s">
        <v>475</v>
      </c>
      <c r="C52" s="79" t="s">
        <v>476</v>
      </c>
      <c r="D52" s="78" t="s">
        <v>753</v>
      </c>
      <c r="E52" s="78" t="s">
        <v>855</v>
      </c>
      <c r="F52" s="78" t="s">
        <v>856</v>
      </c>
      <c r="G52" s="78" t="s">
        <v>570</v>
      </c>
      <c r="H52" s="78" t="s">
        <v>698</v>
      </c>
      <c r="I52" s="78" t="s">
        <v>139</v>
      </c>
      <c r="J52" s="78" t="s">
        <v>755</v>
      </c>
      <c r="K52" s="78" t="n">
        <v>4200</v>
      </c>
      <c r="L52" s="55" t="s">
        <v>706</v>
      </c>
      <c r="M52" s="78" t="s">
        <v>743</v>
      </c>
      <c r="N52" s="80" t="s">
        <v>723</v>
      </c>
      <c r="O52" s="54" t="s">
        <v>32</v>
      </c>
    </row>
    <row r="53" customFormat="false" ht="16.5" hidden="false" customHeight="true" outlineLevel="0" collapsed="false">
      <c r="A53" s="50" t="s">
        <v>857</v>
      </c>
      <c r="B53" s="50" t="s">
        <v>482</v>
      </c>
      <c r="C53" s="51" t="s">
        <v>483</v>
      </c>
      <c r="D53" s="50" t="s">
        <v>758</v>
      </c>
      <c r="E53" s="50" t="s">
        <v>858</v>
      </c>
      <c r="F53" s="50" t="s">
        <v>859</v>
      </c>
      <c r="G53" s="50" t="s">
        <v>576</v>
      </c>
      <c r="H53" s="50" t="s">
        <v>704</v>
      </c>
      <c r="I53" s="50" t="s">
        <v>88</v>
      </c>
      <c r="J53" s="50" t="s">
        <v>760</v>
      </c>
      <c r="K53" s="50" t="n">
        <v>1100</v>
      </c>
      <c r="L53" s="48" t="s">
        <v>108</v>
      </c>
      <c r="M53" s="50" t="s">
        <v>707</v>
      </c>
      <c r="N53" s="73" t="s">
        <v>731</v>
      </c>
      <c r="O53" s="57" t="s">
        <v>519</v>
      </c>
    </row>
  </sheetData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35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1" min="10" style="0" width="16"/>
    <col collapsed="false" customWidth="true" hidden="false" outlineLevel="0" max="12" min="12" style="0" width="22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20"/>
  </cols>
  <sheetData>
    <row r="1" customFormat="false" ht="39.75" hidden="false" customHeight="true" outlineLevel="0" collapsed="false">
      <c r="A1" s="81" t="s">
        <v>860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</row>
    <row r="2" customFormat="false" ht="18" hidden="false" customHeight="true" outlineLevel="0" collapsed="false">
      <c r="A2" s="82" t="s">
        <v>861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</row>
    <row r="3" customFormat="false" ht="19.5" hidden="false" customHeight="true" outlineLevel="0" collapsed="false">
      <c r="A3" s="83" t="s">
        <v>862</v>
      </c>
      <c r="B3" s="83" t="s">
        <v>494</v>
      </c>
      <c r="C3" s="83" t="s">
        <v>59</v>
      </c>
      <c r="D3" s="83" t="s">
        <v>863</v>
      </c>
      <c r="E3" s="83" t="s">
        <v>864</v>
      </c>
      <c r="F3" s="83" t="s">
        <v>865</v>
      </c>
      <c r="G3" s="83" t="s">
        <v>498</v>
      </c>
      <c r="H3" s="83" t="s">
        <v>866</v>
      </c>
      <c r="I3" s="83" t="s">
        <v>867</v>
      </c>
      <c r="J3" s="83" t="s">
        <v>868</v>
      </c>
      <c r="K3" s="83" t="s">
        <v>869</v>
      </c>
      <c r="L3" s="83" t="s">
        <v>870</v>
      </c>
      <c r="M3" s="83" t="s">
        <v>871</v>
      </c>
      <c r="N3" s="83" t="s">
        <v>500</v>
      </c>
      <c r="O3" s="83" t="s">
        <v>74</v>
      </c>
    </row>
    <row r="4" customFormat="false" ht="19.5" hidden="false" customHeight="true" outlineLevel="0" collapsed="false">
      <c r="A4" s="84" t="s">
        <v>872</v>
      </c>
      <c r="B4" s="84" t="s">
        <v>507</v>
      </c>
      <c r="C4" s="84" t="s">
        <v>75</v>
      </c>
      <c r="D4" s="84" t="s">
        <v>508</v>
      </c>
      <c r="E4" s="85" t="s">
        <v>873</v>
      </c>
      <c r="F4" s="84" t="n">
        <v>340000</v>
      </c>
      <c r="G4" s="84" t="s">
        <v>510</v>
      </c>
      <c r="H4" s="84" t="s">
        <v>511</v>
      </c>
      <c r="I4" s="84" t="s">
        <v>139</v>
      </c>
      <c r="J4" s="84" t="s">
        <v>874</v>
      </c>
      <c r="K4" s="84" t="s">
        <v>243</v>
      </c>
      <c r="L4" s="57" t="s">
        <v>875</v>
      </c>
      <c r="M4" s="84" t="s">
        <v>876</v>
      </c>
      <c r="N4" s="53" t="s">
        <v>132</v>
      </c>
      <c r="O4" s="85" t="s">
        <v>877</v>
      </c>
    </row>
    <row r="5" customFormat="false" ht="19.5" hidden="false" customHeight="true" outlineLevel="0" collapsed="false">
      <c r="A5" s="50" t="s">
        <v>878</v>
      </c>
      <c r="B5" s="50" t="s">
        <v>513</v>
      </c>
      <c r="C5" s="50" t="s">
        <v>91</v>
      </c>
      <c r="D5" s="50" t="s">
        <v>514</v>
      </c>
      <c r="E5" s="73" t="s">
        <v>879</v>
      </c>
      <c r="F5" s="50" t="n">
        <v>73000</v>
      </c>
      <c r="G5" s="50" t="s">
        <v>516</v>
      </c>
      <c r="H5" s="50" t="s">
        <v>517</v>
      </c>
      <c r="I5" s="50" t="s">
        <v>139</v>
      </c>
      <c r="J5" s="50" t="s">
        <v>880</v>
      </c>
      <c r="K5" s="50" t="s">
        <v>881</v>
      </c>
      <c r="L5" s="49" t="s">
        <v>534</v>
      </c>
      <c r="M5" s="50" t="s">
        <v>882</v>
      </c>
      <c r="N5" s="55" t="s">
        <v>556</v>
      </c>
      <c r="O5" s="73" t="s">
        <v>883</v>
      </c>
    </row>
    <row r="6" customFormat="false" ht="19.5" hidden="false" customHeight="true" outlineLevel="0" collapsed="false">
      <c r="A6" s="84" t="s">
        <v>884</v>
      </c>
      <c r="B6" s="84" t="s">
        <v>520</v>
      </c>
      <c r="C6" s="84" t="s">
        <v>103</v>
      </c>
      <c r="D6" s="84" t="s">
        <v>521</v>
      </c>
      <c r="E6" s="85" t="s">
        <v>885</v>
      </c>
      <c r="F6" s="84" t="n">
        <v>415000</v>
      </c>
      <c r="G6" s="84" t="s">
        <v>523</v>
      </c>
      <c r="H6" s="84" t="s">
        <v>524</v>
      </c>
      <c r="I6" s="84" t="s">
        <v>139</v>
      </c>
      <c r="J6" s="84" t="s">
        <v>886</v>
      </c>
      <c r="K6" s="84" t="s">
        <v>887</v>
      </c>
      <c r="L6" s="52" t="s">
        <v>888</v>
      </c>
      <c r="M6" s="84" t="s">
        <v>889</v>
      </c>
      <c r="N6" s="74" t="s">
        <v>108</v>
      </c>
      <c r="O6" s="85" t="s">
        <v>890</v>
      </c>
    </row>
    <row r="7" customFormat="false" ht="19.5" hidden="false" customHeight="true" outlineLevel="0" collapsed="false">
      <c r="A7" s="50" t="s">
        <v>891</v>
      </c>
      <c r="B7" s="50" t="s">
        <v>527</v>
      </c>
      <c r="C7" s="50" t="s">
        <v>115</v>
      </c>
      <c r="D7" s="50" t="s">
        <v>528</v>
      </c>
      <c r="E7" s="73" t="s">
        <v>892</v>
      </c>
      <c r="F7" s="50" t="n">
        <v>190000</v>
      </c>
      <c r="G7" s="50" t="s">
        <v>530</v>
      </c>
      <c r="H7" s="50" t="s">
        <v>531</v>
      </c>
      <c r="I7" s="50" t="s">
        <v>139</v>
      </c>
      <c r="J7" s="50" t="s">
        <v>893</v>
      </c>
      <c r="K7" s="50" t="s">
        <v>881</v>
      </c>
      <c r="L7" s="46" t="s">
        <v>894</v>
      </c>
      <c r="M7" s="50" t="s">
        <v>895</v>
      </c>
      <c r="N7" s="53" t="s">
        <v>132</v>
      </c>
      <c r="O7" s="73" t="s">
        <v>896</v>
      </c>
    </row>
    <row r="8" customFormat="false" ht="19.5" hidden="false" customHeight="true" outlineLevel="0" collapsed="false">
      <c r="A8" s="84" t="s">
        <v>897</v>
      </c>
      <c r="B8" s="84" t="s">
        <v>536</v>
      </c>
      <c r="C8" s="84" t="s">
        <v>127</v>
      </c>
      <c r="D8" s="84" t="s">
        <v>537</v>
      </c>
      <c r="E8" s="85" t="s">
        <v>898</v>
      </c>
      <c r="F8" s="84" t="n">
        <v>55000</v>
      </c>
      <c r="G8" s="84" t="s">
        <v>539</v>
      </c>
      <c r="H8" s="84" t="s">
        <v>540</v>
      </c>
      <c r="I8" s="84" t="s">
        <v>139</v>
      </c>
      <c r="J8" s="84" t="s">
        <v>899</v>
      </c>
      <c r="K8" s="84" t="s">
        <v>243</v>
      </c>
      <c r="L8" s="84" t="s">
        <v>900</v>
      </c>
      <c r="M8" s="84" t="s">
        <v>901</v>
      </c>
      <c r="N8" s="74" t="s">
        <v>108</v>
      </c>
      <c r="O8" s="85" t="s">
        <v>902</v>
      </c>
    </row>
    <row r="9" customFormat="false" ht="19.5" hidden="false" customHeight="true" outlineLevel="0" collapsed="false">
      <c r="A9" s="50" t="s">
        <v>903</v>
      </c>
      <c r="B9" s="50" t="s">
        <v>545</v>
      </c>
      <c r="C9" s="50" t="s">
        <v>141</v>
      </c>
      <c r="D9" s="50" t="s">
        <v>546</v>
      </c>
      <c r="E9" s="73" t="s">
        <v>904</v>
      </c>
      <c r="F9" s="50" t="n">
        <v>55000</v>
      </c>
      <c r="G9" s="50" t="s">
        <v>548</v>
      </c>
      <c r="H9" s="50" t="s">
        <v>549</v>
      </c>
      <c r="I9" s="50" t="s">
        <v>139</v>
      </c>
      <c r="J9" s="50" t="s">
        <v>905</v>
      </c>
      <c r="K9" s="50" t="s">
        <v>881</v>
      </c>
      <c r="L9" s="52" t="s">
        <v>906</v>
      </c>
      <c r="M9" s="50" t="s">
        <v>876</v>
      </c>
      <c r="N9" s="53" t="s">
        <v>132</v>
      </c>
      <c r="O9" s="73" t="s">
        <v>907</v>
      </c>
    </row>
    <row r="10" customFormat="false" ht="19.5" hidden="false" customHeight="true" outlineLevel="0" collapsed="false">
      <c r="A10" s="84" t="s">
        <v>908</v>
      </c>
      <c r="B10" s="84" t="s">
        <v>553</v>
      </c>
      <c r="C10" s="84" t="s">
        <v>152</v>
      </c>
      <c r="D10" s="84" t="s">
        <v>554</v>
      </c>
      <c r="E10" s="85" t="s">
        <v>909</v>
      </c>
      <c r="F10" s="84" t="n">
        <v>45000</v>
      </c>
      <c r="G10" s="84" t="s">
        <v>510</v>
      </c>
      <c r="H10" s="84" t="s">
        <v>557</v>
      </c>
      <c r="I10" s="84" t="s">
        <v>139</v>
      </c>
      <c r="J10" s="84" t="s">
        <v>910</v>
      </c>
      <c r="K10" s="84" t="s">
        <v>243</v>
      </c>
      <c r="L10" s="84" t="s">
        <v>890</v>
      </c>
      <c r="M10" s="84" t="s">
        <v>882</v>
      </c>
      <c r="N10" s="55" t="s">
        <v>556</v>
      </c>
      <c r="O10" s="85" t="s">
        <v>911</v>
      </c>
    </row>
    <row r="11" customFormat="false" ht="19.5" hidden="false" customHeight="true" outlineLevel="0" collapsed="false">
      <c r="A11" s="50" t="s">
        <v>912</v>
      </c>
      <c r="B11" s="50" t="s">
        <v>561</v>
      </c>
      <c r="C11" s="50" t="s">
        <v>163</v>
      </c>
      <c r="D11" s="50" t="s">
        <v>562</v>
      </c>
      <c r="E11" s="73" t="s">
        <v>913</v>
      </c>
      <c r="F11" s="50" t="n">
        <v>340000</v>
      </c>
      <c r="G11" s="50" t="s">
        <v>516</v>
      </c>
      <c r="H11" s="50" t="s">
        <v>564</v>
      </c>
      <c r="I11" s="50" t="s">
        <v>139</v>
      </c>
      <c r="J11" s="50" t="s">
        <v>914</v>
      </c>
      <c r="K11" s="50" t="s">
        <v>881</v>
      </c>
      <c r="L11" s="50" t="s">
        <v>915</v>
      </c>
      <c r="M11" s="50" t="s">
        <v>889</v>
      </c>
      <c r="N11" s="74" t="s">
        <v>108</v>
      </c>
      <c r="O11" s="73" t="s">
        <v>915</v>
      </c>
    </row>
    <row r="12" customFormat="false" ht="19.5" hidden="false" customHeight="true" outlineLevel="0" collapsed="false">
      <c r="A12" s="84" t="s">
        <v>916</v>
      </c>
      <c r="B12" s="84" t="s">
        <v>567</v>
      </c>
      <c r="C12" s="84" t="s">
        <v>172</v>
      </c>
      <c r="D12" s="84" t="s">
        <v>568</v>
      </c>
      <c r="E12" s="85" t="s">
        <v>917</v>
      </c>
      <c r="F12" s="84" t="n">
        <v>62000</v>
      </c>
      <c r="G12" s="84" t="s">
        <v>523</v>
      </c>
      <c r="H12" s="84" t="s">
        <v>570</v>
      </c>
      <c r="I12" s="84" t="s">
        <v>139</v>
      </c>
      <c r="J12" s="84" t="s">
        <v>918</v>
      </c>
      <c r="K12" s="84" t="s">
        <v>887</v>
      </c>
      <c r="L12" s="57" t="s">
        <v>919</v>
      </c>
      <c r="M12" s="84" t="s">
        <v>895</v>
      </c>
      <c r="N12" s="53" t="s">
        <v>132</v>
      </c>
      <c r="O12" s="85" t="s">
        <v>920</v>
      </c>
    </row>
    <row r="13" customFormat="false" ht="19.5" hidden="false" customHeight="true" outlineLevel="0" collapsed="false">
      <c r="A13" s="50" t="s">
        <v>921</v>
      </c>
      <c r="B13" s="50" t="s">
        <v>573</v>
      </c>
      <c r="C13" s="50" t="s">
        <v>181</v>
      </c>
      <c r="D13" s="50" t="s">
        <v>574</v>
      </c>
      <c r="E13" s="73" t="s">
        <v>922</v>
      </c>
      <c r="F13" s="50" t="n">
        <v>28000</v>
      </c>
      <c r="G13" s="50" t="s">
        <v>530</v>
      </c>
      <c r="H13" s="50" t="s">
        <v>576</v>
      </c>
      <c r="I13" s="50" t="s">
        <v>139</v>
      </c>
      <c r="J13" s="50" t="s">
        <v>923</v>
      </c>
      <c r="K13" s="50" t="s">
        <v>881</v>
      </c>
      <c r="L13" s="52" t="s">
        <v>924</v>
      </c>
      <c r="M13" s="50" t="s">
        <v>901</v>
      </c>
      <c r="N13" s="74" t="s">
        <v>108</v>
      </c>
      <c r="O13" s="73" t="s">
        <v>925</v>
      </c>
    </row>
    <row r="14" customFormat="false" ht="19.5" hidden="false" customHeight="true" outlineLevel="0" collapsed="false">
      <c r="A14" s="84" t="s">
        <v>926</v>
      </c>
      <c r="B14" s="84" t="s">
        <v>578</v>
      </c>
      <c r="C14" s="84" t="s">
        <v>190</v>
      </c>
      <c r="D14" s="84" t="s">
        <v>579</v>
      </c>
      <c r="E14" s="85" t="s">
        <v>927</v>
      </c>
      <c r="F14" s="84" t="n">
        <v>67000</v>
      </c>
      <c r="G14" s="84" t="s">
        <v>539</v>
      </c>
      <c r="H14" s="84" t="s">
        <v>511</v>
      </c>
      <c r="I14" s="84" t="s">
        <v>139</v>
      </c>
      <c r="J14" s="84" t="s">
        <v>928</v>
      </c>
      <c r="K14" s="84" t="s">
        <v>243</v>
      </c>
      <c r="L14" s="84" t="s">
        <v>929</v>
      </c>
      <c r="M14" s="84" t="s">
        <v>876</v>
      </c>
      <c r="N14" s="53" t="s">
        <v>132</v>
      </c>
      <c r="O14" s="85" t="s">
        <v>930</v>
      </c>
    </row>
    <row r="15" customFormat="false" ht="19.5" hidden="false" customHeight="true" outlineLevel="0" collapsed="false">
      <c r="A15" s="50" t="s">
        <v>931</v>
      </c>
      <c r="B15" s="50" t="s">
        <v>583</v>
      </c>
      <c r="C15" s="50" t="s">
        <v>199</v>
      </c>
      <c r="D15" s="50" t="s">
        <v>584</v>
      </c>
      <c r="E15" s="73" t="s">
        <v>932</v>
      </c>
      <c r="F15" s="50" t="n">
        <v>78000</v>
      </c>
      <c r="G15" s="50" t="s">
        <v>548</v>
      </c>
      <c r="H15" s="50" t="s">
        <v>517</v>
      </c>
      <c r="I15" s="50" t="s">
        <v>139</v>
      </c>
      <c r="J15" s="50" t="s">
        <v>933</v>
      </c>
      <c r="K15" s="50" t="s">
        <v>881</v>
      </c>
      <c r="L15" s="52" t="s">
        <v>934</v>
      </c>
      <c r="M15" s="50" t="s">
        <v>882</v>
      </c>
      <c r="N15" s="55" t="s">
        <v>556</v>
      </c>
      <c r="O15" s="73" t="s">
        <v>935</v>
      </c>
    </row>
    <row r="16" customFormat="false" ht="19.5" hidden="false" customHeight="true" outlineLevel="0" collapsed="false">
      <c r="A16" s="84" t="s">
        <v>936</v>
      </c>
      <c r="B16" s="84" t="s">
        <v>588</v>
      </c>
      <c r="C16" s="84" t="s">
        <v>208</v>
      </c>
      <c r="D16" s="84" t="s">
        <v>589</v>
      </c>
      <c r="E16" s="85" t="s">
        <v>937</v>
      </c>
      <c r="F16" s="84" t="n">
        <v>67000</v>
      </c>
      <c r="G16" s="84" t="s">
        <v>510</v>
      </c>
      <c r="H16" s="84" t="s">
        <v>524</v>
      </c>
      <c r="I16" s="84" t="s">
        <v>139</v>
      </c>
      <c r="J16" s="84" t="s">
        <v>938</v>
      </c>
      <c r="K16" s="84" t="s">
        <v>243</v>
      </c>
      <c r="L16" s="84" t="s">
        <v>939</v>
      </c>
      <c r="M16" s="84" t="s">
        <v>889</v>
      </c>
      <c r="N16" s="74" t="s">
        <v>108</v>
      </c>
      <c r="O16" s="85" t="s">
        <v>940</v>
      </c>
    </row>
    <row r="17" customFormat="false" ht="19.5" hidden="false" customHeight="true" outlineLevel="0" collapsed="false">
      <c r="A17" s="50" t="s">
        <v>941</v>
      </c>
      <c r="B17" s="50" t="s">
        <v>592</v>
      </c>
      <c r="C17" s="50" t="s">
        <v>216</v>
      </c>
      <c r="D17" s="50" t="s">
        <v>593</v>
      </c>
      <c r="E17" s="73" t="s">
        <v>942</v>
      </c>
      <c r="F17" s="50" t="n">
        <v>415000</v>
      </c>
      <c r="G17" s="50" t="s">
        <v>516</v>
      </c>
      <c r="H17" s="50" t="s">
        <v>531</v>
      </c>
      <c r="I17" s="50" t="s">
        <v>139</v>
      </c>
      <c r="J17" s="50" t="s">
        <v>943</v>
      </c>
      <c r="K17" s="50" t="s">
        <v>881</v>
      </c>
      <c r="L17" s="50" t="s">
        <v>162</v>
      </c>
      <c r="M17" s="50" t="s">
        <v>895</v>
      </c>
      <c r="N17" s="53" t="s">
        <v>132</v>
      </c>
      <c r="O17" s="73" t="s">
        <v>944</v>
      </c>
    </row>
    <row r="18" customFormat="false" ht="19.5" hidden="false" customHeight="true" outlineLevel="0" collapsed="false">
      <c r="A18" s="84" t="s">
        <v>945</v>
      </c>
      <c r="B18" s="84" t="s">
        <v>596</v>
      </c>
      <c r="C18" s="84" t="s">
        <v>224</v>
      </c>
      <c r="D18" s="84" t="s">
        <v>597</v>
      </c>
      <c r="E18" s="85" t="s">
        <v>946</v>
      </c>
      <c r="F18" s="84" t="n">
        <v>42000</v>
      </c>
      <c r="G18" s="84" t="s">
        <v>523</v>
      </c>
      <c r="H18" s="84" t="s">
        <v>540</v>
      </c>
      <c r="I18" s="84" t="s">
        <v>139</v>
      </c>
      <c r="J18" s="84" t="s">
        <v>947</v>
      </c>
      <c r="K18" s="84" t="s">
        <v>887</v>
      </c>
      <c r="L18" s="84" t="s">
        <v>90</v>
      </c>
      <c r="M18" s="84" t="s">
        <v>901</v>
      </c>
      <c r="N18" s="74" t="s">
        <v>108</v>
      </c>
      <c r="O18" s="85" t="s">
        <v>948</v>
      </c>
    </row>
    <row r="19" customFormat="false" ht="19.5" hidden="false" customHeight="true" outlineLevel="0" collapsed="false">
      <c r="A19" s="50" t="s">
        <v>949</v>
      </c>
      <c r="B19" s="50" t="s">
        <v>600</v>
      </c>
      <c r="C19" s="50" t="s">
        <v>232</v>
      </c>
      <c r="D19" s="50" t="s">
        <v>601</v>
      </c>
      <c r="E19" s="73" t="s">
        <v>873</v>
      </c>
      <c r="F19" s="50" t="n">
        <v>62000</v>
      </c>
      <c r="G19" s="50" t="s">
        <v>530</v>
      </c>
      <c r="H19" s="50" t="s">
        <v>549</v>
      </c>
      <c r="I19" s="50" t="s">
        <v>139</v>
      </c>
      <c r="J19" s="50" t="s">
        <v>950</v>
      </c>
      <c r="K19" s="50" t="s">
        <v>881</v>
      </c>
      <c r="L19" s="57" t="s">
        <v>875</v>
      </c>
      <c r="M19" s="50" t="s">
        <v>876</v>
      </c>
      <c r="N19" s="53" t="s">
        <v>132</v>
      </c>
      <c r="O19" s="73" t="s">
        <v>877</v>
      </c>
    </row>
    <row r="20" customFormat="false" ht="19.5" hidden="false" customHeight="true" outlineLevel="0" collapsed="false">
      <c r="A20" s="84" t="s">
        <v>951</v>
      </c>
      <c r="B20" s="84" t="s">
        <v>602</v>
      </c>
      <c r="C20" s="84" t="s">
        <v>240</v>
      </c>
      <c r="D20" s="84" t="s">
        <v>603</v>
      </c>
      <c r="E20" s="85" t="s">
        <v>879</v>
      </c>
      <c r="F20" s="84" t="n">
        <v>180000</v>
      </c>
      <c r="G20" s="84" t="s">
        <v>539</v>
      </c>
      <c r="H20" s="84" t="s">
        <v>557</v>
      </c>
      <c r="I20" s="84" t="s">
        <v>139</v>
      </c>
      <c r="J20" s="84" t="s">
        <v>952</v>
      </c>
      <c r="K20" s="84" t="s">
        <v>243</v>
      </c>
      <c r="L20" s="49" t="s">
        <v>534</v>
      </c>
      <c r="M20" s="84" t="s">
        <v>882</v>
      </c>
      <c r="N20" s="55" t="s">
        <v>556</v>
      </c>
      <c r="O20" s="85" t="s">
        <v>883</v>
      </c>
    </row>
    <row r="21" customFormat="false" ht="19.5" hidden="false" customHeight="true" outlineLevel="0" collapsed="false">
      <c r="A21" s="50" t="s">
        <v>953</v>
      </c>
      <c r="B21" s="50" t="s">
        <v>604</v>
      </c>
      <c r="C21" s="50" t="s">
        <v>248</v>
      </c>
      <c r="D21" s="50" t="s">
        <v>605</v>
      </c>
      <c r="E21" s="73" t="s">
        <v>885</v>
      </c>
      <c r="F21" s="50" t="n">
        <v>28000</v>
      </c>
      <c r="G21" s="50" t="s">
        <v>548</v>
      </c>
      <c r="H21" s="50" t="s">
        <v>564</v>
      </c>
      <c r="I21" s="50" t="s">
        <v>139</v>
      </c>
      <c r="J21" s="50" t="s">
        <v>954</v>
      </c>
      <c r="K21" s="50" t="s">
        <v>881</v>
      </c>
      <c r="L21" s="52" t="s">
        <v>888</v>
      </c>
      <c r="M21" s="50" t="s">
        <v>889</v>
      </c>
      <c r="N21" s="74" t="s">
        <v>108</v>
      </c>
      <c r="O21" s="73" t="s">
        <v>890</v>
      </c>
    </row>
    <row r="22" customFormat="false" ht="19.5" hidden="false" customHeight="true" outlineLevel="0" collapsed="false">
      <c r="A22" s="84" t="s">
        <v>955</v>
      </c>
      <c r="B22" s="84" t="s">
        <v>607</v>
      </c>
      <c r="C22" s="84" t="s">
        <v>256</v>
      </c>
      <c r="D22" s="84" t="s">
        <v>608</v>
      </c>
      <c r="E22" s="85" t="s">
        <v>892</v>
      </c>
      <c r="F22" s="84" t="n">
        <v>45000</v>
      </c>
      <c r="G22" s="84" t="s">
        <v>510</v>
      </c>
      <c r="H22" s="84" t="s">
        <v>570</v>
      </c>
      <c r="I22" s="84" t="s">
        <v>139</v>
      </c>
      <c r="J22" s="84" t="s">
        <v>956</v>
      </c>
      <c r="K22" s="84" t="s">
        <v>243</v>
      </c>
      <c r="L22" s="46" t="s">
        <v>894</v>
      </c>
      <c r="M22" s="84" t="s">
        <v>895</v>
      </c>
      <c r="N22" s="53" t="s">
        <v>132</v>
      </c>
      <c r="O22" s="85" t="s">
        <v>896</v>
      </c>
    </row>
    <row r="23" customFormat="false" ht="19.5" hidden="false" customHeight="true" outlineLevel="0" collapsed="false">
      <c r="A23" s="50" t="s">
        <v>957</v>
      </c>
      <c r="B23" s="50" t="s">
        <v>610</v>
      </c>
      <c r="C23" s="50" t="s">
        <v>264</v>
      </c>
      <c r="D23" s="50" t="s">
        <v>611</v>
      </c>
      <c r="E23" s="73" t="s">
        <v>898</v>
      </c>
      <c r="F23" s="50" t="n">
        <v>230000</v>
      </c>
      <c r="G23" s="50" t="s">
        <v>516</v>
      </c>
      <c r="H23" s="50" t="s">
        <v>576</v>
      </c>
      <c r="I23" s="50" t="s">
        <v>139</v>
      </c>
      <c r="J23" s="50" t="s">
        <v>958</v>
      </c>
      <c r="K23" s="50" t="s">
        <v>881</v>
      </c>
      <c r="L23" s="50" t="s">
        <v>900</v>
      </c>
      <c r="M23" s="50" t="s">
        <v>901</v>
      </c>
      <c r="N23" s="74" t="s">
        <v>108</v>
      </c>
      <c r="O23" s="73" t="s">
        <v>902</v>
      </c>
    </row>
    <row r="24" customFormat="false" ht="19.5" hidden="false" customHeight="true" outlineLevel="0" collapsed="false">
      <c r="A24" s="84" t="s">
        <v>959</v>
      </c>
      <c r="B24" s="84" t="s">
        <v>612</v>
      </c>
      <c r="C24" s="84" t="s">
        <v>272</v>
      </c>
      <c r="D24" s="84" t="s">
        <v>613</v>
      </c>
      <c r="E24" s="85" t="s">
        <v>904</v>
      </c>
      <c r="F24" s="84" t="n">
        <v>67000</v>
      </c>
      <c r="G24" s="84" t="s">
        <v>523</v>
      </c>
      <c r="H24" s="84" t="s">
        <v>511</v>
      </c>
      <c r="I24" s="84" t="s">
        <v>139</v>
      </c>
      <c r="J24" s="84" t="s">
        <v>960</v>
      </c>
      <c r="K24" s="84" t="s">
        <v>887</v>
      </c>
      <c r="L24" s="52" t="s">
        <v>906</v>
      </c>
      <c r="M24" s="84" t="s">
        <v>876</v>
      </c>
      <c r="N24" s="53" t="s">
        <v>132</v>
      </c>
      <c r="O24" s="85" t="s">
        <v>907</v>
      </c>
    </row>
    <row r="25" customFormat="false" ht="19.5" hidden="false" customHeight="true" outlineLevel="0" collapsed="false">
      <c r="A25" s="50" t="s">
        <v>961</v>
      </c>
      <c r="B25" s="50" t="s">
        <v>614</v>
      </c>
      <c r="C25" s="50" t="s">
        <v>279</v>
      </c>
      <c r="D25" s="50" t="s">
        <v>615</v>
      </c>
      <c r="E25" s="73" t="s">
        <v>909</v>
      </c>
      <c r="F25" s="50" t="n">
        <v>89000</v>
      </c>
      <c r="G25" s="50" t="s">
        <v>530</v>
      </c>
      <c r="H25" s="50" t="s">
        <v>517</v>
      </c>
      <c r="I25" s="50" t="s">
        <v>139</v>
      </c>
      <c r="J25" s="50" t="s">
        <v>962</v>
      </c>
      <c r="K25" s="50" t="s">
        <v>881</v>
      </c>
      <c r="L25" s="50" t="s">
        <v>890</v>
      </c>
      <c r="M25" s="50" t="s">
        <v>882</v>
      </c>
      <c r="N25" s="55" t="s">
        <v>556</v>
      </c>
      <c r="O25" s="73" t="s">
        <v>911</v>
      </c>
    </row>
    <row r="26" customFormat="false" ht="19.5" hidden="false" customHeight="true" outlineLevel="0" collapsed="false">
      <c r="A26" s="84" t="s">
        <v>963</v>
      </c>
      <c r="B26" s="84" t="s">
        <v>616</v>
      </c>
      <c r="C26" s="84" t="s">
        <v>287</v>
      </c>
      <c r="D26" s="84" t="s">
        <v>617</v>
      </c>
      <c r="E26" s="85" t="s">
        <v>913</v>
      </c>
      <c r="F26" s="84" t="n">
        <v>95000</v>
      </c>
      <c r="G26" s="84" t="s">
        <v>539</v>
      </c>
      <c r="H26" s="84" t="s">
        <v>524</v>
      </c>
      <c r="I26" s="84" t="s">
        <v>139</v>
      </c>
      <c r="J26" s="84" t="s">
        <v>964</v>
      </c>
      <c r="K26" s="84" t="s">
        <v>243</v>
      </c>
      <c r="L26" s="84" t="s">
        <v>915</v>
      </c>
      <c r="M26" s="84" t="s">
        <v>889</v>
      </c>
      <c r="N26" s="74" t="s">
        <v>108</v>
      </c>
      <c r="O26" s="85" t="s">
        <v>915</v>
      </c>
    </row>
    <row r="27" customFormat="false" ht="19.5" hidden="false" customHeight="true" outlineLevel="0" collapsed="false">
      <c r="A27" s="50" t="s">
        <v>965</v>
      </c>
      <c r="B27" s="50" t="s">
        <v>618</v>
      </c>
      <c r="C27" s="50" t="s">
        <v>294</v>
      </c>
      <c r="D27" s="50" t="s">
        <v>619</v>
      </c>
      <c r="E27" s="73" t="s">
        <v>917</v>
      </c>
      <c r="F27" s="50" t="n">
        <v>67000</v>
      </c>
      <c r="G27" s="50" t="s">
        <v>548</v>
      </c>
      <c r="H27" s="50" t="s">
        <v>531</v>
      </c>
      <c r="I27" s="50" t="s">
        <v>139</v>
      </c>
      <c r="J27" s="50" t="s">
        <v>966</v>
      </c>
      <c r="K27" s="50" t="s">
        <v>881</v>
      </c>
      <c r="L27" s="57" t="s">
        <v>919</v>
      </c>
      <c r="M27" s="50" t="s">
        <v>895</v>
      </c>
      <c r="N27" s="53" t="s">
        <v>132</v>
      </c>
      <c r="O27" s="73" t="s">
        <v>920</v>
      </c>
    </row>
    <row r="28" customFormat="false" ht="19.5" hidden="false" customHeight="true" outlineLevel="0" collapsed="false">
      <c r="A28" s="84" t="s">
        <v>967</v>
      </c>
      <c r="B28" s="84" t="s">
        <v>620</v>
      </c>
      <c r="C28" s="84" t="s">
        <v>301</v>
      </c>
      <c r="D28" s="84" t="s">
        <v>621</v>
      </c>
      <c r="E28" s="85" t="s">
        <v>922</v>
      </c>
      <c r="F28" s="84" t="n">
        <v>120000</v>
      </c>
      <c r="G28" s="84" t="s">
        <v>510</v>
      </c>
      <c r="H28" s="84" t="s">
        <v>540</v>
      </c>
      <c r="I28" s="84" t="s">
        <v>139</v>
      </c>
      <c r="J28" s="84" t="s">
        <v>968</v>
      </c>
      <c r="K28" s="84" t="s">
        <v>243</v>
      </c>
      <c r="L28" s="52" t="s">
        <v>924</v>
      </c>
      <c r="M28" s="84" t="s">
        <v>901</v>
      </c>
      <c r="N28" s="74" t="s">
        <v>108</v>
      </c>
      <c r="O28" s="85" t="s">
        <v>925</v>
      </c>
    </row>
    <row r="29" customFormat="false" ht="19.5" hidden="false" customHeight="true" outlineLevel="0" collapsed="false">
      <c r="A29" s="50" t="s">
        <v>969</v>
      </c>
      <c r="B29" s="50" t="s">
        <v>623</v>
      </c>
      <c r="C29" s="50" t="s">
        <v>309</v>
      </c>
      <c r="D29" s="50" t="s">
        <v>624</v>
      </c>
      <c r="E29" s="73" t="s">
        <v>927</v>
      </c>
      <c r="F29" s="50" t="n">
        <v>230000</v>
      </c>
      <c r="G29" s="50" t="s">
        <v>516</v>
      </c>
      <c r="H29" s="50" t="s">
        <v>549</v>
      </c>
      <c r="I29" s="50" t="s">
        <v>139</v>
      </c>
      <c r="J29" s="50" t="s">
        <v>970</v>
      </c>
      <c r="K29" s="50" t="s">
        <v>881</v>
      </c>
      <c r="L29" s="50" t="s">
        <v>929</v>
      </c>
      <c r="M29" s="50" t="s">
        <v>876</v>
      </c>
      <c r="N29" s="53" t="s">
        <v>132</v>
      </c>
      <c r="O29" s="73" t="s">
        <v>930</v>
      </c>
    </row>
    <row r="30" customFormat="false" ht="19.5" hidden="false" customHeight="true" outlineLevel="0" collapsed="false">
      <c r="A30" s="84" t="s">
        <v>971</v>
      </c>
      <c r="B30" s="84" t="s">
        <v>626</v>
      </c>
      <c r="C30" s="84" t="s">
        <v>317</v>
      </c>
      <c r="D30" s="84" t="s">
        <v>627</v>
      </c>
      <c r="E30" s="85" t="s">
        <v>932</v>
      </c>
      <c r="F30" s="84" t="n">
        <v>260000</v>
      </c>
      <c r="G30" s="84" t="s">
        <v>523</v>
      </c>
      <c r="H30" s="84" t="s">
        <v>557</v>
      </c>
      <c r="I30" s="84" t="s">
        <v>139</v>
      </c>
      <c r="J30" s="84" t="s">
        <v>972</v>
      </c>
      <c r="K30" s="84" t="s">
        <v>887</v>
      </c>
      <c r="L30" s="52" t="s">
        <v>934</v>
      </c>
      <c r="M30" s="84" t="s">
        <v>882</v>
      </c>
      <c r="N30" s="55" t="s">
        <v>556</v>
      </c>
      <c r="O30" s="85" t="s">
        <v>935</v>
      </c>
    </row>
    <row r="31" customFormat="false" ht="19.5" hidden="false" customHeight="true" outlineLevel="0" collapsed="false">
      <c r="A31" s="50" t="s">
        <v>973</v>
      </c>
      <c r="B31" s="50" t="s">
        <v>628</v>
      </c>
      <c r="C31" s="50" t="s">
        <v>324</v>
      </c>
      <c r="D31" s="50" t="s">
        <v>629</v>
      </c>
      <c r="E31" s="73" t="s">
        <v>937</v>
      </c>
      <c r="F31" s="50" t="n">
        <v>155000</v>
      </c>
      <c r="G31" s="50" t="s">
        <v>530</v>
      </c>
      <c r="H31" s="50" t="s">
        <v>564</v>
      </c>
      <c r="I31" s="50" t="s">
        <v>139</v>
      </c>
      <c r="J31" s="50" t="s">
        <v>974</v>
      </c>
      <c r="K31" s="50" t="s">
        <v>881</v>
      </c>
      <c r="L31" s="50" t="s">
        <v>939</v>
      </c>
      <c r="M31" s="50" t="s">
        <v>889</v>
      </c>
      <c r="N31" s="74" t="s">
        <v>108</v>
      </c>
      <c r="O31" s="73" t="s">
        <v>940</v>
      </c>
    </row>
    <row r="32" customFormat="false" ht="19.5" hidden="false" customHeight="true" outlineLevel="0" collapsed="false">
      <c r="A32" s="84" t="s">
        <v>975</v>
      </c>
      <c r="B32" s="84" t="s">
        <v>630</v>
      </c>
      <c r="C32" s="84" t="s">
        <v>331</v>
      </c>
      <c r="D32" s="84" t="s">
        <v>631</v>
      </c>
      <c r="E32" s="85" t="s">
        <v>942</v>
      </c>
      <c r="F32" s="84" t="n">
        <v>415000</v>
      </c>
      <c r="G32" s="84" t="s">
        <v>539</v>
      </c>
      <c r="H32" s="84" t="s">
        <v>570</v>
      </c>
      <c r="I32" s="84" t="s">
        <v>139</v>
      </c>
      <c r="J32" s="84" t="s">
        <v>976</v>
      </c>
      <c r="K32" s="84" t="s">
        <v>243</v>
      </c>
      <c r="L32" s="84" t="s">
        <v>162</v>
      </c>
      <c r="M32" s="84" t="s">
        <v>895</v>
      </c>
      <c r="N32" s="53" t="s">
        <v>132</v>
      </c>
      <c r="O32" s="85" t="s">
        <v>944</v>
      </c>
    </row>
    <row r="33" customFormat="false" ht="19.5" hidden="false" customHeight="true" outlineLevel="0" collapsed="false">
      <c r="A33" s="50" t="s">
        <v>977</v>
      </c>
      <c r="B33" s="50" t="s">
        <v>632</v>
      </c>
      <c r="C33" s="50" t="s">
        <v>338</v>
      </c>
      <c r="D33" s="50" t="s">
        <v>633</v>
      </c>
      <c r="E33" s="73" t="s">
        <v>946</v>
      </c>
      <c r="F33" s="50" t="n">
        <v>28000</v>
      </c>
      <c r="G33" s="50" t="s">
        <v>548</v>
      </c>
      <c r="H33" s="50" t="s">
        <v>576</v>
      </c>
      <c r="I33" s="50" t="s">
        <v>139</v>
      </c>
      <c r="J33" s="50" t="s">
        <v>978</v>
      </c>
      <c r="K33" s="50" t="s">
        <v>881</v>
      </c>
      <c r="L33" s="50" t="s">
        <v>90</v>
      </c>
      <c r="M33" s="50" t="s">
        <v>901</v>
      </c>
      <c r="N33" s="74" t="s">
        <v>108</v>
      </c>
      <c r="O33" s="73" t="s">
        <v>948</v>
      </c>
    </row>
    <row r="34" customFormat="false" ht="19.5" hidden="false" customHeight="true" outlineLevel="0" collapsed="false">
      <c r="A34" s="84" t="s">
        <v>979</v>
      </c>
      <c r="B34" s="84" t="s">
        <v>634</v>
      </c>
      <c r="C34" s="84" t="s">
        <v>345</v>
      </c>
      <c r="D34" s="84" t="s">
        <v>635</v>
      </c>
      <c r="E34" s="85" t="s">
        <v>873</v>
      </c>
      <c r="F34" s="84" t="n">
        <v>155000</v>
      </c>
      <c r="G34" s="84" t="s">
        <v>510</v>
      </c>
      <c r="H34" s="84" t="s">
        <v>511</v>
      </c>
      <c r="I34" s="84" t="s">
        <v>139</v>
      </c>
      <c r="J34" s="84" t="s">
        <v>980</v>
      </c>
      <c r="K34" s="84" t="s">
        <v>243</v>
      </c>
      <c r="L34" s="57" t="s">
        <v>875</v>
      </c>
      <c r="M34" s="84" t="s">
        <v>876</v>
      </c>
      <c r="N34" s="53" t="s">
        <v>132</v>
      </c>
      <c r="O34" s="85" t="s">
        <v>877</v>
      </c>
    </row>
    <row r="35" customFormat="false" ht="19.5" hidden="false" customHeight="true" outlineLevel="0" collapsed="false">
      <c r="A35" s="50" t="s">
        <v>981</v>
      </c>
      <c r="B35" s="50" t="s">
        <v>636</v>
      </c>
      <c r="C35" s="50" t="s">
        <v>353</v>
      </c>
      <c r="D35" s="50" t="s">
        <v>637</v>
      </c>
      <c r="E35" s="73" t="s">
        <v>879</v>
      </c>
      <c r="F35" s="50" t="n">
        <v>260000</v>
      </c>
      <c r="G35" s="50" t="s">
        <v>516</v>
      </c>
      <c r="H35" s="50" t="s">
        <v>517</v>
      </c>
      <c r="I35" s="50" t="s">
        <v>139</v>
      </c>
      <c r="J35" s="50" t="s">
        <v>982</v>
      </c>
      <c r="K35" s="50" t="s">
        <v>881</v>
      </c>
      <c r="L35" s="49" t="s">
        <v>534</v>
      </c>
      <c r="M35" s="50" t="s">
        <v>882</v>
      </c>
      <c r="N35" s="55" t="s">
        <v>556</v>
      </c>
      <c r="O35" s="73" t="s">
        <v>883</v>
      </c>
    </row>
    <row r="36" customFormat="false" ht="19.5" hidden="false" customHeight="true" outlineLevel="0" collapsed="false">
      <c r="A36" s="84" t="s">
        <v>983</v>
      </c>
      <c r="B36" s="84" t="s">
        <v>639</v>
      </c>
      <c r="C36" s="84" t="s">
        <v>360</v>
      </c>
      <c r="D36" s="84" t="s">
        <v>640</v>
      </c>
      <c r="E36" s="85" t="s">
        <v>885</v>
      </c>
      <c r="F36" s="84" t="n">
        <v>42000</v>
      </c>
      <c r="G36" s="84" t="s">
        <v>523</v>
      </c>
      <c r="H36" s="84" t="s">
        <v>524</v>
      </c>
      <c r="I36" s="84" t="s">
        <v>139</v>
      </c>
      <c r="J36" s="84" t="s">
        <v>984</v>
      </c>
      <c r="K36" s="84" t="s">
        <v>887</v>
      </c>
      <c r="L36" s="52" t="s">
        <v>888</v>
      </c>
      <c r="M36" s="84" t="s">
        <v>889</v>
      </c>
      <c r="N36" s="74" t="s">
        <v>108</v>
      </c>
      <c r="O36" s="85" t="s">
        <v>890</v>
      </c>
    </row>
    <row r="37" customFormat="false" ht="19.5" hidden="false" customHeight="true" outlineLevel="0" collapsed="false">
      <c r="A37" s="50" t="s">
        <v>985</v>
      </c>
      <c r="B37" s="50" t="s">
        <v>642</v>
      </c>
      <c r="C37" s="50" t="s">
        <v>367</v>
      </c>
      <c r="D37" s="50" t="s">
        <v>643</v>
      </c>
      <c r="E37" s="73" t="s">
        <v>892</v>
      </c>
      <c r="F37" s="50" t="n">
        <v>230000</v>
      </c>
      <c r="G37" s="50" t="s">
        <v>530</v>
      </c>
      <c r="H37" s="50" t="s">
        <v>531</v>
      </c>
      <c r="I37" s="50" t="s">
        <v>139</v>
      </c>
      <c r="J37" s="50" t="s">
        <v>986</v>
      </c>
      <c r="K37" s="50" t="s">
        <v>881</v>
      </c>
      <c r="L37" s="46" t="s">
        <v>894</v>
      </c>
      <c r="M37" s="50" t="s">
        <v>895</v>
      </c>
      <c r="N37" s="53" t="s">
        <v>132</v>
      </c>
      <c r="O37" s="73" t="s">
        <v>896</v>
      </c>
    </row>
    <row r="38" customFormat="false" ht="19.5" hidden="false" customHeight="true" outlineLevel="0" collapsed="false">
      <c r="A38" s="84" t="s">
        <v>987</v>
      </c>
      <c r="B38" s="84" t="s">
        <v>644</v>
      </c>
      <c r="C38" s="84" t="s">
        <v>374</v>
      </c>
      <c r="D38" s="84" t="s">
        <v>645</v>
      </c>
      <c r="E38" s="85" t="s">
        <v>898</v>
      </c>
      <c r="F38" s="84" t="n">
        <v>62000</v>
      </c>
      <c r="G38" s="84" t="s">
        <v>539</v>
      </c>
      <c r="H38" s="84" t="s">
        <v>540</v>
      </c>
      <c r="I38" s="84" t="s">
        <v>139</v>
      </c>
      <c r="J38" s="84" t="s">
        <v>988</v>
      </c>
      <c r="K38" s="84" t="s">
        <v>243</v>
      </c>
      <c r="L38" s="84" t="s">
        <v>900</v>
      </c>
      <c r="M38" s="84" t="s">
        <v>901</v>
      </c>
      <c r="N38" s="74" t="s">
        <v>108</v>
      </c>
      <c r="O38" s="85" t="s">
        <v>902</v>
      </c>
    </row>
    <row r="39" customFormat="false" ht="19.5" hidden="false" customHeight="true" outlineLevel="0" collapsed="false">
      <c r="A39" s="50" t="s">
        <v>989</v>
      </c>
      <c r="B39" s="50" t="s">
        <v>646</v>
      </c>
      <c r="C39" s="50" t="s">
        <v>381</v>
      </c>
      <c r="D39" s="50" t="s">
        <v>647</v>
      </c>
      <c r="E39" s="73" t="s">
        <v>904</v>
      </c>
      <c r="F39" s="50" t="n">
        <v>95000</v>
      </c>
      <c r="G39" s="50" t="s">
        <v>548</v>
      </c>
      <c r="H39" s="50" t="s">
        <v>549</v>
      </c>
      <c r="I39" s="50" t="s">
        <v>139</v>
      </c>
      <c r="J39" s="50" t="s">
        <v>990</v>
      </c>
      <c r="K39" s="50" t="s">
        <v>881</v>
      </c>
      <c r="L39" s="52" t="s">
        <v>906</v>
      </c>
      <c r="M39" s="50" t="s">
        <v>876</v>
      </c>
      <c r="N39" s="53" t="s">
        <v>132</v>
      </c>
      <c r="O39" s="73" t="s">
        <v>907</v>
      </c>
    </row>
    <row r="40" customFormat="false" ht="19.5" hidden="false" customHeight="true" outlineLevel="0" collapsed="false">
      <c r="A40" s="84" t="s">
        <v>991</v>
      </c>
      <c r="B40" s="84" t="s">
        <v>648</v>
      </c>
      <c r="C40" s="84" t="s">
        <v>388</v>
      </c>
      <c r="D40" s="84" t="s">
        <v>649</v>
      </c>
      <c r="E40" s="85" t="s">
        <v>909</v>
      </c>
      <c r="F40" s="84" t="n">
        <v>340000</v>
      </c>
      <c r="G40" s="84" t="s">
        <v>510</v>
      </c>
      <c r="H40" s="84" t="s">
        <v>557</v>
      </c>
      <c r="I40" s="84" t="s">
        <v>139</v>
      </c>
      <c r="J40" s="84" t="s">
        <v>992</v>
      </c>
      <c r="K40" s="84" t="s">
        <v>243</v>
      </c>
      <c r="L40" s="84" t="s">
        <v>890</v>
      </c>
      <c r="M40" s="84" t="s">
        <v>882</v>
      </c>
      <c r="N40" s="55" t="s">
        <v>556</v>
      </c>
      <c r="O40" s="85" t="s">
        <v>911</v>
      </c>
    </row>
    <row r="41" customFormat="false" ht="19.5" hidden="false" customHeight="true" outlineLevel="0" collapsed="false">
      <c r="A41" s="50" t="s">
        <v>993</v>
      </c>
      <c r="B41" s="50" t="s">
        <v>650</v>
      </c>
      <c r="C41" s="50" t="s">
        <v>395</v>
      </c>
      <c r="D41" s="50" t="s">
        <v>651</v>
      </c>
      <c r="E41" s="73" t="s">
        <v>913</v>
      </c>
      <c r="F41" s="50" t="n">
        <v>67000</v>
      </c>
      <c r="G41" s="50" t="s">
        <v>516</v>
      </c>
      <c r="H41" s="50" t="s">
        <v>564</v>
      </c>
      <c r="I41" s="50" t="s">
        <v>139</v>
      </c>
      <c r="J41" s="50" t="s">
        <v>994</v>
      </c>
      <c r="K41" s="50" t="s">
        <v>881</v>
      </c>
      <c r="L41" s="50" t="s">
        <v>915</v>
      </c>
      <c r="M41" s="50" t="s">
        <v>889</v>
      </c>
      <c r="N41" s="74" t="s">
        <v>108</v>
      </c>
      <c r="O41" s="73" t="s">
        <v>915</v>
      </c>
    </row>
    <row r="42" customFormat="false" ht="19.5" hidden="false" customHeight="true" outlineLevel="0" collapsed="false">
      <c r="A42" s="84" t="s">
        <v>995</v>
      </c>
      <c r="B42" s="84" t="s">
        <v>652</v>
      </c>
      <c r="C42" s="84" t="s">
        <v>402</v>
      </c>
      <c r="D42" s="84" t="s">
        <v>653</v>
      </c>
      <c r="E42" s="85" t="s">
        <v>917</v>
      </c>
      <c r="F42" s="84" t="n">
        <v>120000</v>
      </c>
      <c r="G42" s="84" t="s">
        <v>523</v>
      </c>
      <c r="H42" s="84" t="s">
        <v>570</v>
      </c>
      <c r="I42" s="84" t="s">
        <v>139</v>
      </c>
      <c r="J42" s="84" t="s">
        <v>996</v>
      </c>
      <c r="K42" s="84" t="s">
        <v>887</v>
      </c>
      <c r="L42" s="57" t="s">
        <v>919</v>
      </c>
      <c r="M42" s="84" t="s">
        <v>895</v>
      </c>
      <c r="N42" s="53" t="s">
        <v>132</v>
      </c>
      <c r="O42" s="85" t="s">
        <v>920</v>
      </c>
    </row>
    <row r="43" customFormat="false" ht="19.5" hidden="false" customHeight="true" outlineLevel="0" collapsed="false">
      <c r="A43" s="50" t="s">
        <v>997</v>
      </c>
      <c r="B43" s="50" t="s">
        <v>655</v>
      </c>
      <c r="C43" s="50" t="s">
        <v>410</v>
      </c>
      <c r="D43" s="50" t="s">
        <v>656</v>
      </c>
      <c r="E43" s="73" t="s">
        <v>922</v>
      </c>
      <c r="F43" s="50" t="n">
        <v>155000</v>
      </c>
      <c r="G43" s="50" t="s">
        <v>530</v>
      </c>
      <c r="H43" s="50" t="s">
        <v>576</v>
      </c>
      <c r="I43" s="50" t="s">
        <v>139</v>
      </c>
      <c r="J43" s="50" t="s">
        <v>998</v>
      </c>
      <c r="K43" s="50" t="s">
        <v>881</v>
      </c>
      <c r="L43" s="52" t="s">
        <v>924</v>
      </c>
      <c r="M43" s="50" t="s">
        <v>901</v>
      </c>
      <c r="N43" s="74" t="s">
        <v>108</v>
      </c>
      <c r="O43" s="73" t="s">
        <v>925</v>
      </c>
    </row>
    <row r="44" customFormat="false" ht="19.5" hidden="false" customHeight="true" outlineLevel="0" collapsed="false">
      <c r="A44" s="84" t="s">
        <v>999</v>
      </c>
      <c r="B44" s="84" t="s">
        <v>658</v>
      </c>
      <c r="C44" s="84" t="s">
        <v>417</v>
      </c>
      <c r="D44" s="84" t="s">
        <v>659</v>
      </c>
      <c r="E44" s="85" t="s">
        <v>927</v>
      </c>
      <c r="F44" s="84" t="n">
        <v>45000</v>
      </c>
      <c r="G44" s="84" t="s">
        <v>539</v>
      </c>
      <c r="H44" s="84" t="s">
        <v>511</v>
      </c>
      <c r="I44" s="84" t="s">
        <v>139</v>
      </c>
      <c r="J44" s="84" t="s">
        <v>1000</v>
      </c>
      <c r="K44" s="84" t="s">
        <v>243</v>
      </c>
      <c r="L44" s="84" t="s">
        <v>929</v>
      </c>
      <c r="M44" s="84" t="s">
        <v>876</v>
      </c>
      <c r="N44" s="53" t="s">
        <v>132</v>
      </c>
      <c r="O44" s="85" t="s">
        <v>930</v>
      </c>
    </row>
    <row r="45" customFormat="false" ht="19.5" hidden="false" customHeight="true" outlineLevel="0" collapsed="false">
      <c r="A45" s="50" t="s">
        <v>1001</v>
      </c>
      <c r="B45" s="50" t="s">
        <v>660</v>
      </c>
      <c r="C45" s="50" t="s">
        <v>424</v>
      </c>
      <c r="D45" s="50" t="s">
        <v>661</v>
      </c>
      <c r="E45" s="73" t="s">
        <v>932</v>
      </c>
      <c r="F45" s="50" t="n">
        <v>42000</v>
      </c>
      <c r="G45" s="50" t="s">
        <v>548</v>
      </c>
      <c r="H45" s="50" t="s">
        <v>517</v>
      </c>
      <c r="I45" s="50" t="s">
        <v>139</v>
      </c>
      <c r="J45" s="50" t="s">
        <v>1002</v>
      </c>
      <c r="K45" s="50" t="s">
        <v>881</v>
      </c>
      <c r="L45" s="52" t="s">
        <v>934</v>
      </c>
      <c r="M45" s="50" t="s">
        <v>882</v>
      </c>
      <c r="N45" s="55" t="s">
        <v>556</v>
      </c>
      <c r="O45" s="73" t="s">
        <v>935</v>
      </c>
    </row>
    <row r="46" customFormat="false" ht="19.5" hidden="false" customHeight="true" outlineLevel="0" collapsed="false">
      <c r="A46" s="84" t="s">
        <v>1003</v>
      </c>
      <c r="B46" s="84" t="s">
        <v>662</v>
      </c>
      <c r="C46" s="84" t="s">
        <v>431</v>
      </c>
      <c r="D46" s="84" t="s">
        <v>663</v>
      </c>
      <c r="E46" s="85" t="s">
        <v>937</v>
      </c>
      <c r="F46" s="84" t="n">
        <v>180000</v>
      </c>
      <c r="G46" s="84" t="s">
        <v>510</v>
      </c>
      <c r="H46" s="84" t="s">
        <v>524</v>
      </c>
      <c r="I46" s="84" t="s">
        <v>139</v>
      </c>
      <c r="J46" s="84" t="s">
        <v>1004</v>
      </c>
      <c r="K46" s="84" t="s">
        <v>243</v>
      </c>
      <c r="L46" s="84" t="s">
        <v>939</v>
      </c>
      <c r="M46" s="84" t="s">
        <v>889</v>
      </c>
      <c r="N46" s="74" t="s">
        <v>108</v>
      </c>
      <c r="O46" s="85" t="s">
        <v>940</v>
      </c>
    </row>
    <row r="47" customFormat="false" ht="19.5" hidden="false" customHeight="true" outlineLevel="0" collapsed="false">
      <c r="A47" s="50" t="s">
        <v>1005</v>
      </c>
      <c r="B47" s="50" t="s">
        <v>664</v>
      </c>
      <c r="C47" s="50" t="s">
        <v>439</v>
      </c>
      <c r="D47" s="50" t="s">
        <v>665</v>
      </c>
      <c r="E47" s="73" t="s">
        <v>942</v>
      </c>
      <c r="F47" s="50" t="n">
        <v>340000</v>
      </c>
      <c r="G47" s="50" t="s">
        <v>516</v>
      </c>
      <c r="H47" s="50" t="s">
        <v>531</v>
      </c>
      <c r="I47" s="50" t="s">
        <v>139</v>
      </c>
      <c r="J47" s="50" t="s">
        <v>1006</v>
      </c>
      <c r="K47" s="50" t="s">
        <v>881</v>
      </c>
      <c r="L47" s="50" t="s">
        <v>162</v>
      </c>
      <c r="M47" s="50" t="s">
        <v>895</v>
      </c>
      <c r="N47" s="53" t="s">
        <v>132</v>
      </c>
      <c r="O47" s="73" t="s">
        <v>944</v>
      </c>
    </row>
    <row r="48" customFormat="false" ht="19.5" hidden="false" customHeight="true" outlineLevel="0" collapsed="false">
      <c r="A48" s="84" t="s">
        <v>1007</v>
      </c>
      <c r="B48" s="84" t="s">
        <v>666</v>
      </c>
      <c r="C48" s="84" t="s">
        <v>446</v>
      </c>
      <c r="D48" s="84" t="s">
        <v>667</v>
      </c>
      <c r="E48" s="85" t="s">
        <v>946</v>
      </c>
      <c r="F48" s="84" t="n">
        <v>415000</v>
      </c>
      <c r="G48" s="84" t="s">
        <v>523</v>
      </c>
      <c r="H48" s="84" t="s">
        <v>540</v>
      </c>
      <c r="I48" s="84" t="s">
        <v>139</v>
      </c>
      <c r="J48" s="84" t="s">
        <v>1008</v>
      </c>
      <c r="K48" s="84" t="s">
        <v>887</v>
      </c>
      <c r="L48" s="84" t="s">
        <v>90</v>
      </c>
      <c r="M48" s="84" t="s">
        <v>901</v>
      </c>
      <c r="N48" s="74" t="s">
        <v>108</v>
      </c>
      <c r="O48" s="85" t="s">
        <v>948</v>
      </c>
    </row>
    <row r="49" customFormat="false" ht="19.5" hidden="false" customHeight="true" outlineLevel="0" collapsed="false">
      <c r="A49" s="50" t="s">
        <v>1009</v>
      </c>
      <c r="B49" s="50" t="s">
        <v>668</v>
      </c>
      <c r="C49" s="50" t="s">
        <v>453</v>
      </c>
      <c r="D49" s="50" t="s">
        <v>669</v>
      </c>
      <c r="E49" s="73" t="s">
        <v>873</v>
      </c>
      <c r="F49" s="50" t="n">
        <v>155000</v>
      </c>
      <c r="G49" s="50" t="s">
        <v>530</v>
      </c>
      <c r="H49" s="50" t="s">
        <v>549</v>
      </c>
      <c r="I49" s="50" t="s">
        <v>139</v>
      </c>
      <c r="J49" s="50" t="s">
        <v>1010</v>
      </c>
      <c r="K49" s="50" t="s">
        <v>881</v>
      </c>
      <c r="L49" s="57" t="s">
        <v>875</v>
      </c>
      <c r="M49" s="50" t="s">
        <v>876</v>
      </c>
      <c r="N49" s="53" t="s">
        <v>132</v>
      </c>
      <c r="O49" s="73" t="s">
        <v>877</v>
      </c>
    </row>
    <row r="50" customFormat="false" ht="19.5" hidden="false" customHeight="true" outlineLevel="0" collapsed="false">
      <c r="A50" s="84" t="s">
        <v>1011</v>
      </c>
      <c r="B50" s="84" t="s">
        <v>671</v>
      </c>
      <c r="C50" s="84" t="s">
        <v>460</v>
      </c>
      <c r="D50" s="84" t="s">
        <v>672</v>
      </c>
      <c r="E50" s="85" t="s">
        <v>879</v>
      </c>
      <c r="F50" s="84" t="n">
        <v>78000</v>
      </c>
      <c r="G50" s="84" t="s">
        <v>539</v>
      </c>
      <c r="H50" s="84" t="s">
        <v>557</v>
      </c>
      <c r="I50" s="84" t="s">
        <v>139</v>
      </c>
      <c r="J50" s="84" t="s">
        <v>1012</v>
      </c>
      <c r="K50" s="84" t="s">
        <v>243</v>
      </c>
      <c r="L50" s="49" t="s">
        <v>534</v>
      </c>
      <c r="M50" s="84" t="s">
        <v>882</v>
      </c>
      <c r="N50" s="55" t="s">
        <v>556</v>
      </c>
      <c r="O50" s="85" t="s">
        <v>883</v>
      </c>
    </row>
    <row r="51" customFormat="false" ht="19.5" hidden="false" customHeight="true" outlineLevel="0" collapsed="false">
      <c r="A51" s="50" t="s">
        <v>1013</v>
      </c>
      <c r="B51" s="50" t="s">
        <v>674</v>
      </c>
      <c r="C51" s="50" t="s">
        <v>468</v>
      </c>
      <c r="D51" s="50" t="s">
        <v>675</v>
      </c>
      <c r="E51" s="73" t="s">
        <v>885</v>
      </c>
      <c r="F51" s="50" t="n">
        <v>28000</v>
      </c>
      <c r="G51" s="50" t="s">
        <v>548</v>
      </c>
      <c r="H51" s="50" t="s">
        <v>564</v>
      </c>
      <c r="I51" s="50" t="s">
        <v>139</v>
      </c>
      <c r="J51" s="50" t="s">
        <v>1014</v>
      </c>
      <c r="K51" s="50" t="s">
        <v>881</v>
      </c>
      <c r="L51" s="52" t="s">
        <v>888</v>
      </c>
      <c r="M51" s="50" t="s">
        <v>889</v>
      </c>
      <c r="N51" s="74" t="s">
        <v>108</v>
      </c>
      <c r="O51" s="73" t="s">
        <v>890</v>
      </c>
    </row>
    <row r="52" customFormat="false" ht="19.5" hidden="false" customHeight="true" outlineLevel="0" collapsed="false">
      <c r="A52" s="84" t="s">
        <v>1015</v>
      </c>
      <c r="B52" s="84" t="s">
        <v>676</v>
      </c>
      <c r="C52" s="84" t="s">
        <v>475</v>
      </c>
      <c r="D52" s="84" t="s">
        <v>677</v>
      </c>
      <c r="E52" s="85" t="s">
        <v>892</v>
      </c>
      <c r="F52" s="84" t="n">
        <v>260000</v>
      </c>
      <c r="G52" s="84" t="s">
        <v>510</v>
      </c>
      <c r="H52" s="84" t="s">
        <v>570</v>
      </c>
      <c r="I52" s="84" t="s">
        <v>139</v>
      </c>
      <c r="J52" s="84" t="s">
        <v>1016</v>
      </c>
      <c r="K52" s="84" t="s">
        <v>243</v>
      </c>
      <c r="L52" s="46" t="s">
        <v>894</v>
      </c>
      <c r="M52" s="84" t="s">
        <v>895</v>
      </c>
      <c r="N52" s="53" t="s">
        <v>132</v>
      </c>
      <c r="O52" s="85" t="s">
        <v>896</v>
      </c>
    </row>
    <row r="53" customFormat="false" ht="19.5" hidden="false" customHeight="true" outlineLevel="0" collapsed="false">
      <c r="A53" s="50" t="s">
        <v>1017</v>
      </c>
      <c r="B53" s="50" t="s">
        <v>678</v>
      </c>
      <c r="C53" s="50" t="s">
        <v>482</v>
      </c>
      <c r="D53" s="50" t="s">
        <v>679</v>
      </c>
      <c r="E53" s="73" t="s">
        <v>898</v>
      </c>
      <c r="F53" s="50" t="n">
        <v>28000</v>
      </c>
      <c r="G53" s="50" t="s">
        <v>516</v>
      </c>
      <c r="H53" s="50" t="s">
        <v>576</v>
      </c>
      <c r="I53" s="50" t="s">
        <v>139</v>
      </c>
      <c r="J53" s="50" t="s">
        <v>1018</v>
      </c>
      <c r="K53" s="50" t="s">
        <v>881</v>
      </c>
      <c r="L53" s="50" t="s">
        <v>900</v>
      </c>
      <c r="M53" s="50" t="s">
        <v>901</v>
      </c>
      <c r="N53" s="74" t="s">
        <v>108</v>
      </c>
      <c r="O53" s="73" t="s">
        <v>902</v>
      </c>
    </row>
  </sheetData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4" min="3" style="0" width="20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39.75" hidden="false" customHeight="true" outlineLevel="0" collapsed="false">
      <c r="A1" s="86" t="s">
        <v>1019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</row>
    <row r="2" customFormat="false" ht="18" hidden="false" customHeight="true" outlineLevel="0" collapsed="false">
      <c r="A2" s="87" t="s">
        <v>1020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</row>
    <row r="3" customFormat="false" ht="19.5" hidden="false" customHeight="true" outlineLevel="0" collapsed="false">
      <c r="A3" s="28" t="s">
        <v>1021</v>
      </c>
      <c r="B3" s="28" t="s">
        <v>1022</v>
      </c>
      <c r="C3" s="28" t="s">
        <v>1023</v>
      </c>
      <c r="D3" s="28" t="s">
        <v>1024</v>
      </c>
      <c r="E3" s="28" t="s">
        <v>1025</v>
      </c>
      <c r="F3" s="28" t="s">
        <v>64</v>
      </c>
      <c r="G3" s="28" t="s">
        <v>1026</v>
      </c>
      <c r="H3" s="28" t="s">
        <v>1027</v>
      </c>
      <c r="I3" s="28" t="s">
        <v>1028</v>
      </c>
    </row>
    <row r="4" customFormat="false" ht="16.5" hidden="false" customHeight="true" outlineLevel="0" collapsed="false">
      <c r="A4" s="88" t="s">
        <v>1029</v>
      </c>
      <c r="B4" s="46" t="s">
        <v>1030</v>
      </c>
      <c r="C4" s="46" t="n">
        <v>8</v>
      </c>
      <c r="D4" s="46" t="n">
        <v>7</v>
      </c>
      <c r="E4" s="89" t="n">
        <f aca="false">ROUND(C4*(1-D4/10),1)</f>
        <v>2.4</v>
      </c>
      <c r="F4" s="89" t="str">
        <f aca="false">IF(E4&gt;=7,"High",IF(E4&gt;=4,"Medium","Low"))</f>
        <v>Low</v>
      </c>
      <c r="G4" s="90" t="n">
        <v>15</v>
      </c>
      <c r="H4" s="89" t="n">
        <f aca="false">E4*G4/100</f>
        <v>0.36</v>
      </c>
      <c r="I4" s="91" t="s">
        <v>1031</v>
      </c>
    </row>
    <row r="5" customFormat="false" ht="16.5" hidden="false" customHeight="true" outlineLevel="0" collapsed="false">
      <c r="A5" s="92" t="s">
        <v>1032</v>
      </c>
      <c r="B5" s="50" t="s">
        <v>1033</v>
      </c>
      <c r="C5" s="50" t="n">
        <v>9</v>
      </c>
      <c r="D5" s="50" t="n">
        <v>8</v>
      </c>
      <c r="E5" s="89" t="n">
        <f aca="false">ROUND(C5*(1-D5/10),1)</f>
        <v>1.8</v>
      </c>
      <c r="F5" s="89" t="str">
        <f aca="false">IF(E5&gt;=7,"High",IF(E5&gt;=4,"Medium","Low"))</f>
        <v>Low</v>
      </c>
      <c r="G5" s="93" t="n">
        <v>12</v>
      </c>
      <c r="H5" s="89" t="n">
        <f aca="false">E5*G5/100</f>
        <v>0.216</v>
      </c>
      <c r="I5" s="94" t="s">
        <v>1034</v>
      </c>
    </row>
    <row r="6" customFormat="false" ht="16.5" hidden="false" customHeight="true" outlineLevel="0" collapsed="false">
      <c r="A6" s="88" t="s">
        <v>1035</v>
      </c>
      <c r="B6" s="46" t="s">
        <v>1036</v>
      </c>
      <c r="C6" s="46" t="n">
        <v>10</v>
      </c>
      <c r="D6" s="46" t="n">
        <v>9</v>
      </c>
      <c r="E6" s="89" t="n">
        <f aca="false">ROUND(C6*(1-D6/10),1)</f>
        <v>1</v>
      </c>
      <c r="F6" s="89" t="str">
        <f aca="false">IF(E6&gt;=7,"High",IF(E6&gt;=4,"Medium","Low"))</f>
        <v>Low</v>
      </c>
      <c r="G6" s="90" t="n">
        <v>15</v>
      </c>
      <c r="H6" s="89" t="n">
        <f aca="false">E6*G6/100</f>
        <v>0.15</v>
      </c>
      <c r="I6" s="91" t="s">
        <v>1037</v>
      </c>
    </row>
    <row r="7" customFormat="false" ht="16.5" hidden="false" customHeight="true" outlineLevel="0" collapsed="false">
      <c r="A7" s="92" t="s">
        <v>1038</v>
      </c>
      <c r="B7" s="50" t="s">
        <v>1036</v>
      </c>
      <c r="C7" s="50" t="n">
        <v>8</v>
      </c>
      <c r="D7" s="50" t="n">
        <v>7</v>
      </c>
      <c r="E7" s="89" t="n">
        <f aca="false">ROUND(C7*(1-D7/10),1)</f>
        <v>2.4</v>
      </c>
      <c r="F7" s="89" t="str">
        <f aca="false">IF(E7&gt;=7,"High",IF(E7&gt;=4,"Medium","Low"))</f>
        <v>Low</v>
      </c>
      <c r="G7" s="93" t="n">
        <v>12</v>
      </c>
      <c r="H7" s="89" t="n">
        <f aca="false">E7*G7/100</f>
        <v>0.288</v>
      </c>
      <c r="I7" s="94" t="s">
        <v>1039</v>
      </c>
    </row>
    <row r="8" customFormat="false" ht="16.5" hidden="false" customHeight="true" outlineLevel="0" collapsed="false">
      <c r="A8" s="88" t="s">
        <v>719</v>
      </c>
      <c r="B8" s="46" t="s">
        <v>30</v>
      </c>
      <c r="C8" s="46" t="n">
        <v>7</v>
      </c>
      <c r="D8" s="46" t="n">
        <v>6</v>
      </c>
      <c r="E8" s="89" t="n">
        <f aca="false">ROUND(C8*(1-D8/10),1)</f>
        <v>2.8</v>
      </c>
      <c r="F8" s="89" t="str">
        <f aca="false">IF(E8&gt;=7,"High",IF(E8&gt;=4,"Medium","Low"))</f>
        <v>Low</v>
      </c>
      <c r="G8" s="90" t="n">
        <v>10</v>
      </c>
      <c r="H8" s="89" t="n">
        <f aca="false">E8*G8/100</f>
        <v>0.28</v>
      </c>
      <c r="I8" s="91" t="s">
        <v>1040</v>
      </c>
    </row>
    <row r="9" customFormat="false" ht="16.5" hidden="false" customHeight="true" outlineLevel="0" collapsed="false">
      <c r="A9" s="92" t="s">
        <v>1041</v>
      </c>
      <c r="B9" s="50" t="s">
        <v>1042</v>
      </c>
      <c r="C9" s="50" t="n">
        <v>8</v>
      </c>
      <c r="D9" s="50" t="n">
        <v>7</v>
      </c>
      <c r="E9" s="89" t="n">
        <f aca="false">ROUND(C9*(1-D9/10),1)</f>
        <v>2.4</v>
      </c>
      <c r="F9" s="89" t="str">
        <f aca="false">IF(E9&gt;=7,"High",IF(E9&gt;=4,"Medium","Low"))</f>
        <v>Low</v>
      </c>
      <c r="G9" s="93" t="n">
        <v>10</v>
      </c>
      <c r="H9" s="89" t="n">
        <f aca="false">E9*G9/100</f>
        <v>0.24</v>
      </c>
      <c r="I9" s="94" t="s">
        <v>1043</v>
      </c>
    </row>
    <row r="10" customFormat="false" ht="16.5" hidden="false" customHeight="true" outlineLevel="0" collapsed="false">
      <c r="A10" s="88" t="s">
        <v>1044</v>
      </c>
      <c r="B10" s="46" t="s">
        <v>1036</v>
      </c>
      <c r="C10" s="46" t="n">
        <v>7</v>
      </c>
      <c r="D10" s="46" t="n">
        <v>8</v>
      </c>
      <c r="E10" s="89" t="n">
        <f aca="false">ROUND(C10*(1-D10/10),1)</f>
        <v>1.4</v>
      </c>
      <c r="F10" s="89" t="str">
        <f aca="false">IF(E10&gt;=7,"High",IF(E10&gt;=4,"Medium","Low"))</f>
        <v>Low</v>
      </c>
      <c r="G10" s="90" t="n">
        <v>8</v>
      </c>
      <c r="H10" s="89" t="n">
        <f aca="false">E10*G10/100</f>
        <v>0.112</v>
      </c>
      <c r="I10" s="91" t="s">
        <v>1045</v>
      </c>
    </row>
    <row r="11" customFormat="false" ht="16.5" hidden="false" customHeight="true" outlineLevel="0" collapsed="false">
      <c r="A11" s="92" t="s">
        <v>1046</v>
      </c>
      <c r="B11" s="50" t="s">
        <v>1036</v>
      </c>
      <c r="C11" s="50" t="n">
        <v>6</v>
      </c>
      <c r="D11" s="50" t="n">
        <v>7</v>
      </c>
      <c r="E11" s="89" t="n">
        <f aca="false">ROUND(C11*(1-D11/10),1)</f>
        <v>1.8</v>
      </c>
      <c r="F11" s="89" t="str">
        <f aca="false">IF(E11&gt;=7,"High",IF(E11&gt;=4,"Medium","Low"))</f>
        <v>Low</v>
      </c>
      <c r="G11" s="93" t="n">
        <v>8</v>
      </c>
      <c r="H11" s="89" t="n">
        <f aca="false">E11*G11/100</f>
        <v>0.144</v>
      </c>
      <c r="I11" s="94" t="s">
        <v>1047</v>
      </c>
    </row>
    <row r="12" customFormat="false" ht="16.5" hidden="false" customHeight="true" outlineLevel="0" collapsed="false">
      <c r="A12" s="88" t="s">
        <v>1048</v>
      </c>
      <c r="B12" s="46" t="s">
        <v>1030</v>
      </c>
      <c r="C12" s="46" t="n">
        <v>7</v>
      </c>
      <c r="D12" s="46" t="n">
        <v>6</v>
      </c>
      <c r="E12" s="89" t="n">
        <f aca="false">ROUND(C12*(1-D12/10),1)</f>
        <v>2.8</v>
      </c>
      <c r="F12" s="89" t="str">
        <f aca="false">IF(E12&gt;=7,"High",IF(E12&gt;=4,"Medium","Low"))</f>
        <v>Low</v>
      </c>
      <c r="G12" s="90" t="n">
        <v>5</v>
      </c>
      <c r="H12" s="89" t="n">
        <f aca="false">E12*G12/100</f>
        <v>0.14</v>
      </c>
      <c r="I12" s="91" t="s">
        <v>1049</v>
      </c>
    </row>
    <row r="13" customFormat="false" ht="16.5" hidden="false" customHeight="true" outlineLevel="0" collapsed="false">
      <c r="A13" s="92" t="s">
        <v>1050</v>
      </c>
      <c r="B13" s="50" t="s">
        <v>1036</v>
      </c>
      <c r="C13" s="50" t="n">
        <v>8</v>
      </c>
      <c r="D13" s="50" t="n">
        <v>8</v>
      </c>
      <c r="E13" s="89" t="n">
        <f aca="false">ROUND(C13*(1-D13/10),1)</f>
        <v>1.6</v>
      </c>
      <c r="F13" s="89" t="str">
        <f aca="false">IF(E13&gt;=7,"High",IF(E13&gt;=4,"Medium","Low"))</f>
        <v>Low</v>
      </c>
      <c r="G13" s="93" t="n">
        <v>5</v>
      </c>
      <c r="H13" s="89" t="n">
        <f aca="false">E13*G13/100</f>
        <v>0.08</v>
      </c>
      <c r="I13" s="94" t="s">
        <v>1051</v>
      </c>
    </row>
    <row r="14" customFormat="false" ht="16.5" hidden="false" customHeight="true" outlineLevel="0" collapsed="false">
      <c r="A14" s="88" t="s">
        <v>1052</v>
      </c>
      <c r="B14" s="46" t="s">
        <v>1036</v>
      </c>
      <c r="C14" s="46" t="n">
        <v>8</v>
      </c>
      <c r="D14" s="46" t="n">
        <v>7</v>
      </c>
      <c r="E14" s="89" t="n">
        <f aca="false">ROUND(C14*(1-D14/10),1)</f>
        <v>2.4</v>
      </c>
      <c r="F14" s="89" t="str">
        <f aca="false">IF(E14&gt;=7,"High",IF(E14&gt;=4,"Medium","Low"))</f>
        <v>Low</v>
      </c>
      <c r="G14" s="90" t="n">
        <v>6</v>
      </c>
      <c r="H14" s="89" t="n">
        <f aca="false">E14*G14/100</f>
        <v>0.144</v>
      </c>
      <c r="I14" s="91" t="s">
        <v>1053</v>
      </c>
    </row>
    <row r="15" customFormat="false" ht="16.5" hidden="false" customHeight="true" outlineLevel="0" collapsed="false">
      <c r="A15" s="92" t="s">
        <v>1054</v>
      </c>
      <c r="B15" s="50" t="s">
        <v>30</v>
      </c>
      <c r="C15" s="50" t="n">
        <v>7</v>
      </c>
      <c r="D15" s="50" t="n">
        <v>7</v>
      </c>
      <c r="E15" s="89" t="n">
        <f aca="false">ROUND(C15*(1-D15/10),1)</f>
        <v>2.1</v>
      </c>
      <c r="F15" s="89" t="str">
        <f aca="false">IF(E15&gt;=7,"High",IF(E15&gt;=4,"Medium","Low"))</f>
        <v>Low</v>
      </c>
      <c r="G15" s="93" t="n">
        <v>5</v>
      </c>
      <c r="H15" s="89" t="n">
        <f aca="false">E15*G15/100</f>
        <v>0.105</v>
      </c>
      <c r="I15" s="94" t="s">
        <v>1055</v>
      </c>
    </row>
    <row r="16" customFormat="false" ht="16.5" hidden="false" customHeight="true" outlineLevel="0" collapsed="false">
      <c r="A16" s="88" t="s">
        <v>1056</v>
      </c>
      <c r="B16" s="46" t="s">
        <v>1057</v>
      </c>
      <c r="C16" s="46" t="n">
        <v>6</v>
      </c>
      <c r="D16" s="46" t="n">
        <v>8</v>
      </c>
      <c r="E16" s="89" t="n">
        <f aca="false">ROUND(C16*(1-D16/10),1)</f>
        <v>1.2</v>
      </c>
      <c r="F16" s="89" t="str">
        <f aca="false">IF(E16&gt;=7,"High",IF(E16&gt;=4,"Medium","Low"))</f>
        <v>Low</v>
      </c>
      <c r="G16" s="90" t="n">
        <v>4</v>
      </c>
      <c r="H16" s="89" t="n">
        <f aca="false">E16*G16/100</f>
        <v>0.048</v>
      </c>
      <c r="I16" s="91" t="s">
        <v>1058</v>
      </c>
    </row>
    <row r="17" customFormat="false" ht="16.5" hidden="false" customHeight="true" outlineLevel="0" collapsed="false">
      <c r="A17" s="92" t="s">
        <v>1059</v>
      </c>
      <c r="B17" s="50" t="s">
        <v>1060</v>
      </c>
      <c r="C17" s="50" t="n">
        <v>5</v>
      </c>
      <c r="D17" s="50" t="n">
        <v>9</v>
      </c>
      <c r="E17" s="89" t="n">
        <f aca="false">ROUND(C17*(1-D17/10),1)</f>
        <v>0.5</v>
      </c>
      <c r="F17" s="89" t="str">
        <f aca="false">IF(E17&gt;=7,"High",IF(E17&gt;=4,"Medium","Low"))</f>
        <v>Low</v>
      </c>
      <c r="G17" s="93" t="n">
        <v>3</v>
      </c>
      <c r="H17" s="89" t="n">
        <f aca="false">E17*G17/100</f>
        <v>0.015</v>
      </c>
      <c r="I17" s="94" t="s">
        <v>1061</v>
      </c>
    </row>
    <row r="18" customFormat="false" ht="16.5" hidden="false" customHeight="true" outlineLevel="0" collapsed="false">
      <c r="A18" s="88" t="s">
        <v>1062</v>
      </c>
      <c r="B18" s="46" t="s">
        <v>1057</v>
      </c>
      <c r="C18" s="46" t="n">
        <v>9</v>
      </c>
      <c r="D18" s="46" t="n">
        <v>8</v>
      </c>
      <c r="E18" s="89" t="n">
        <f aca="false">ROUND(C18*(1-D18/10),1)</f>
        <v>1.8</v>
      </c>
      <c r="F18" s="89" t="str">
        <f aca="false">IF(E18&gt;=7,"High",IF(E18&gt;=4,"Medium","Low"))</f>
        <v>Low</v>
      </c>
      <c r="G18" s="90" t="n">
        <v>4</v>
      </c>
      <c r="H18" s="89" t="n">
        <f aca="false">E18*G18/100</f>
        <v>0.072</v>
      </c>
      <c r="I18" s="91" t="s">
        <v>1063</v>
      </c>
    </row>
    <row r="19" customFormat="false" ht="21.75" hidden="false" customHeight="true" outlineLevel="0" collapsed="false">
      <c r="A19" s="95" t="s">
        <v>1064</v>
      </c>
      <c r="B19" s="95"/>
      <c r="C19" s="95"/>
      <c r="D19" s="95"/>
      <c r="E19" s="95"/>
      <c r="F19" s="95"/>
      <c r="G19" s="96" t="n">
        <f aca="false">SUM(G4:G18)</f>
        <v>122</v>
      </c>
      <c r="H19" s="97" t="n">
        <f aca="false">SUM(H4:H18)</f>
        <v>2.394</v>
      </c>
    </row>
  </sheetData>
  <mergeCells count="3">
    <mergeCell ref="A1:Q1"/>
    <mergeCell ref="A2:Q2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28"/>
    <col collapsed="false" customWidth="true" hidden="false" outlineLevel="0" max="11" min="10" style="0" width="12"/>
    <col collapsed="false" customWidth="true" hidden="false" outlineLevel="0" max="12" min="12" style="0" width="20"/>
    <col collapsed="false" customWidth="true" hidden="false" outlineLevel="0" max="13" min="13" style="0" width="15"/>
    <col collapsed="false" customWidth="true" hidden="false" outlineLevel="0" max="14" min="14" style="0" width="14"/>
  </cols>
  <sheetData>
    <row r="1" customFormat="false" ht="39.75" hidden="false" customHeight="true" outlineLevel="0" collapsed="false">
      <c r="A1" s="98" t="s">
        <v>1065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</row>
    <row r="2" customFormat="false" ht="18" hidden="false" customHeight="true" outlineLevel="0" collapsed="false">
      <c r="A2" s="99" t="s">
        <v>1066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</row>
    <row r="3" customFormat="false" ht="19.5" hidden="false" customHeight="true" outlineLevel="0" collapsed="false">
      <c r="A3" s="100" t="s">
        <v>1067</v>
      </c>
      <c r="B3" s="100" t="s">
        <v>59</v>
      </c>
      <c r="C3" s="100" t="s">
        <v>1068</v>
      </c>
      <c r="D3" s="100" t="s">
        <v>1069</v>
      </c>
      <c r="E3" s="100" t="s">
        <v>865</v>
      </c>
      <c r="F3" s="100" t="s">
        <v>498</v>
      </c>
      <c r="G3" s="100" t="s">
        <v>1070</v>
      </c>
      <c r="H3" s="100" t="s">
        <v>1071</v>
      </c>
      <c r="I3" s="100" t="s">
        <v>1072</v>
      </c>
      <c r="J3" s="100" t="s">
        <v>1073</v>
      </c>
      <c r="K3" s="100" t="s">
        <v>1074</v>
      </c>
      <c r="L3" s="100" t="s">
        <v>1075</v>
      </c>
      <c r="M3" s="100" t="s">
        <v>1076</v>
      </c>
      <c r="N3" s="100" t="s">
        <v>1077</v>
      </c>
    </row>
    <row r="4" customFormat="false" ht="16.5" hidden="false" customHeight="true" outlineLevel="0" collapsed="false">
      <c r="A4" s="101" t="s">
        <v>1078</v>
      </c>
      <c r="B4" s="101" t="s">
        <v>75</v>
      </c>
      <c r="C4" s="101" t="s">
        <v>508</v>
      </c>
      <c r="D4" s="101" t="s">
        <v>1079</v>
      </c>
      <c r="E4" s="101" t="n">
        <v>48000</v>
      </c>
      <c r="F4" s="101" t="s">
        <v>510</v>
      </c>
      <c r="G4" s="102" t="s">
        <v>142</v>
      </c>
      <c r="H4" s="101" t="s">
        <v>78</v>
      </c>
      <c r="I4" s="103" t="s">
        <v>1080</v>
      </c>
      <c r="J4" s="55" t="s">
        <v>132</v>
      </c>
      <c r="K4" s="101" t="s">
        <v>139</v>
      </c>
      <c r="L4" s="103" t="s">
        <v>1081</v>
      </c>
      <c r="M4" s="101" t="s">
        <v>511</v>
      </c>
      <c r="N4" s="101" t="s">
        <v>1082</v>
      </c>
    </row>
    <row r="5" customFormat="false" ht="16.5" hidden="false" customHeight="true" outlineLevel="0" collapsed="false">
      <c r="A5" s="50" t="s">
        <v>1083</v>
      </c>
      <c r="B5" s="50" t="s">
        <v>91</v>
      </c>
      <c r="C5" s="50" t="s">
        <v>514</v>
      </c>
      <c r="D5" s="50" t="s">
        <v>1084</v>
      </c>
      <c r="E5" s="50" t="n">
        <v>88000</v>
      </c>
      <c r="F5" s="50" t="s">
        <v>516</v>
      </c>
      <c r="G5" s="51" t="s">
        <v>153</v>
      </c>
      <c r="H5" s="50" t="s">
        <v>1085</v>
      </c>
      <c r="I5" s="73" t="s">
        <v>1086</v>
      </c>
      <c r="J5" s="53" t="s">
        <v>108</v>
      </c>
      <c r="K5" s="50" t="s">
        <v>139</v>
      </c>
      <c r="L5" s="73" t="s">
        <v>1087</v>
      </c>
      <c r="M5" s="50" t="s">
        <v>517</v>
      </c>
      <c r="N5" s="50" t="s">
        <v>1088</v>
      </c>
    </row>
    <row r="6" customFormat="false" ht="16.5" hidden="false" customHeight="true" outlineLevel="0" collapsed="false">
      <c r="A6" s="101" t="s">
        <v>1089</v>
      </c>
      <c r="B6" s="101" t="s">
        <v>103</v>
      </c>
      <c r="C6" s="101" t="s">
        <v>521</v>
      </c>
      <c r="D6" s="101" t="s">
        <v>1090</v>
      </c>
      <c r="E6" s="101" t="n">
        <v>95000</v>
      </c>
      <c r="F6" s="101" t="s">
        <v>523</v>
      </c>
      <c r="G6" s="102" t="s">
        <v>164</v>
      </c>
      <c r="H6" s="101" t="s">
        <v>1091</v>
      </c>
      <c r="I6" s="103" t="s">
        <v>1092</v>
      </c>
      <c r="J6" s="48" t="s">
        <v>80</v>
      </c>
      <c r="K6" s="101" t="s">
        <v>139</v>
      </c>
      <c r="L6" s="103" t="s">
        <v>1093</v>
      </c>
      <c r="M6" s="101" t="s">
        <v>524</v>
      </c>
      <c r="N6" s="101" t="s">
        <v>1094</v>
      </c>
    </row>
    <row r="7" customFormat="false" ht="16.5" hidden="false" customHeight="true" outlineLevel="0" collapsed="false">
      <c r="A7" s="50" t="s">
        <v>1095</v>
      </c>
      <c r="B7" s="50" t="s">
        <v>115</v>
      </c>
      <c r="C7" s="50" t="s">
        <v>528</v>
      </c>
      <c r="D7" s="50" t="s">
        <v>1096</v>
      </c>
      <c r="E7" s="50" t="n">
        <v>67000</v>
      </c>
      <c r="F7" s="50" t="s">
        <v>530</v>
      </c>
      <c r="G7" s="51" t="s">
        <v>173</v>
      </c>
      <c r="H7" s="50" t="s">
        <v>1097</v>
      </c>
      <c r="I7" s="73" t="s">
        <v>1098</v>
      </c>
      <c r="J7" s="55" t="s">
        <v>132</v>
      </c>
      <c r="K7" s="50" t="s">
        <v>139</v>
      </c>
      <c r="L7" s="73" t="s">
        <v>1099</v>
      </c>
      <c r="M7" s="50" t="s">
        <v>531</v>
      </c>
      <c r="N7" s="50" t="s">
        <v>1100</v>
      </c>
    </row>
    <row r="8" customFormat="false" ht="16.5" hidden="false" customHeight="true" outlineLevel="0" collapsed="false">
      <c r="A8" s="101" t="s">
        <v>1101</v>
      </c>
      <c r="B8" s="101" t="s">
        <v>127</v>
      </c>
      <c r="C8" s="101" t="s">
        <v>537</v>
      </c>
      <c r="D8" s="101" t="s">
        <v>1102</v>
      </c>
      <c r="E8" s="101" t="n">
        <v>8500</v>
      </c>
      <c r="F8" s="101" t="s">
        <v>510</v>
      </c>
      <c r="G8" s="102" t="s">
        <v>182</v>
      </c>
      <c r="H8" s="101" t="s">
        <v>1103</v>
      </c>
      <c r="I8" s="103" t="s">
        <v>1104</v>
      </c>
      <c r="J8" s="53" t="s">
        <v>108</v>
      </c>
      <c r="K8" s="101" t="s">
        <v>88</v>
      </c>
      <c r="L8" s="103" t="s">
        <v>1081</v>
      </c>
      <c r="M8" s="101" t="s">
        <v>540</v>
      </c>
      <c r="N8" s="101"/>
    </row>
    <row r="9" customFormat="false" ht="16.5" hidden="false" customHeight="true" outlineLevel="0" collapsed="false">
      <c r="A9" s="50" t="s">
        <v>1105</v>
      </c>
      <c r="B9" s="50" t="s">
        <v>141</v>
      </c>
      <c r="C9" s="50" t="s">
        <v>546</v>
      </c>
      <c r="D9" s="50" t="s">
        <v>1106</v>
      </c>
      <c r="E9" s="50" t="n">
        <v>9800</v>
      </c>
      <c r="F9" s="50" t="s">
        <v>516</v>
      </c>
      <c r="G9" s="51" t="s">
        <v>191</v>
      </c>
      <c r="H9" s="50" t="s">
        <v>193</v>
      </c>
      <c r="I9" s="73" t="s">
        <v>1107</v>
      </c>
      <c r="J9" s="48" t="s">
        <v>80</v>
      </c>
      <c r="K9" s="50" t="s">
        <v>139</v>
      </c>
      <c r="L9" s="73" t="s">
        <v>1108</v>
      </c>
      <c r="M9" s="50" t="s">
        <v>549</v>
      </c>
      <c r="N9" s="50" t="s">
        <v>1109</v>
      </c>
    </row>
    <row r="10" customFormat="false" ht="16.5" hidden="false" customHeight="true" outlineLevel="0" collapsed="false">
      <c r="A10" s="101" t="s">
        <v>1110</v>
      </c>
      <c r="B10" s="101" t="s">
        <v>152</v>
      </c>
      <c r="C10" s="101" t="s">
        <v>554</v>
      </c>
      <c r="D10" s="101" t="s">
        <v>1111</v>
      </c>
      <c r="E10" s="101" t="n">
        <v>88000</v>
      </c>
      <c r="F10" s="101" t="s">
        <v>523</v>
      </c>
      <c r="G10" s="102" t="s">
        <v>200</v>
      </c>
      <c r="H10" s="101" t="s">
        <v>211</v>
      </c>
      <c r="I10" s="103" t="s">
        <v>1112</v>
      </c>
      <c r="J10" s="55" t="s">
        <v>132</v>
      </c>
      <c r="K10" s="101" t="s">
        <v>243</v>
      </c>
      <c r="L10" s="103" t="s">
        <v>1099</v>
      </c>
      <c r="M10" s="101" t="s">
        <v>557</v>
      </c>
      <c r="N10" s="101"/>
    </row>
    <row r="11" customFormat="false" ht="16.5" hidden="false" customHeight="true" outlineLevel="0" collapsed="false">
      <c r="A11" s="50" t="s">
        <v>1113</v>
      </c>
      <c r="B11" s="50" t="s">
        <v>163</v>
      </c>
      <c r="C11" s="50" t="s">
        <v>562</v>
      </c>
      <c r="D11" s="50" t="s">
        <v>1114</v>
      </c>
      <c r="E11" s="50" t="n">
        <v>200000</v>
      </c>
      <c r="F11" s="50" t="s">
        <v>530</v>
      </c>
      <c r="G11" s="51" t="s">
        <v>209</v>
      </c>
      <c r="H11" s="50" t="s">
        <v>1115</v>
      </c>
      <c r="I11" s="73" t="s">
        <v>1116</v>
      </c>
      <c r="J11" s="53" t="s">
        <v>108</v>
      </c>
      <c r="K11" s="50" t="s">
        <v>88</v>
      </c>
      <c r="L11" s="73" t="s">
        <v>1117</v>
      </c>
      <c r="M11" s="50" t="s">
        <v>564</v>
      </c>
      <c r="N11" s="50"/>
    </row>
    <row r="12" customFormat="false" ht="16.5" hidden="false" customHeight="true" outlineLevel="0" collapsed="false">
      <c r="A12" s="101" t="s">
        <v>1118</v>
      </c>
      <c r="B12" s="101" t="s">
        <v>172</v>
      </c>
      <c r="C12" s="101" t="s">
        <v>568</v>
      </c>
      <c r="D12" s="101" t="s">
        <v>1119</v>
      </c>
      <c r="E12" s="101" t="n">
        <v>42000</v>
      </c>
      <c r="F12" s="101" t="s">
        <v>510</v>
      </c>
      <c r="G12" s="102" t="s">
        <v>217</v>
      </c>
      <c r="H12" s="101" t="s">
        <v>1120</v>
      </c>
      <c r="I12" s="103" t="s">
        <v>1121</v>
      </c>
      <c r="J12" s="48" t="s">
        <v>80</v>
      </c>
      <c r="K12" s="101" t="s">
        <v>139</v>
      </c>
      <c r="L12" s="103" t="s">
        <v>1081</v>
      </c>
      <c r="M12" s="101" t="s">
        <v>570</v>
      </c>
      <c r="N12" s="101" t="s">
        <v>667</v>
      </c>
    </row>
    <row r="13" customFormat="false" ht="16.5" hidden="false" customHeight="true" outlineLevel="0" collapsed="false">
      <c r="A13" s="50" t="s">
        <v>1122</v>
      </c>
      <c r="B13" s="50" t="s">
        <v>181</v>
      </c>
      <c r="C13" s="50" t="s">
        <v>574</v>
      </c>
      <c r="D13" s="50" t="s">
        <v>1123</v>
      </c>
      <c r="E13" s="50" t="n">
        <v>100000</v>
      </c>
      <c r="F13" s="50" t="s">
        <v>516</v>
      </c>
      <c r="G13" s="51" t="s">
        <v>225</v>
      </c>
      <c r="H13" s="50" t="s">
        <v>1124</v>
      </c>
      <c r="I13" s="73" t="s">
        <v>1125</v>
      </c>
      <c r="J13" s="55" t="s">
        <v>132</v>
      </c>
      <c r="K13" s="50" t="s">
        <v>139</v>
      </c>
      <c r="L13" s="73" t="s">
        <v>1108</v>
      </c>
      <c r="M13" s="50" t="s">
        <v>576</v>
      </c>
      <c r="N13" s="50" t="s">
        <v>1126</v>
      </c>
    </row>
    <row r="14" customFormat="false" ht="16.5" hidden="false" customHeight="true" outlineLevel="0" collapsed="false">
      <c r="A14" s="101" t="s">
        <v>1127</v>
      </c>
      <c r="B14" s="101" t="s">
        <v>190</v>
      </c>
      <c r="C14" s="101" t="s">
        <v>579</v>
      </c>
      <c r="D14" s="101" t="s">
        <v>1079</v>
      </c>
      <c r="E14" s="101" t="n">
        <v>38000</v>
      </c>
      <c r="F14" s="101" t="s">
        <v>523</v>
      </c>
      <c r="G14" s="102" t="s">
        <v>233</v>
      </c>
      <c r="H14" s="101" t="s">
        <v>118</v>
      </c>
      <c r="I14" s="103" t="s">
        <v>1128</v>
      </c>
      <c r="J14" s="53" t="s">
        <v>108</v>
      </c>
      <c r="K14" s="101" t="s">
        <v>139</v>
      </c>
      <c r="L14" s="103" t="s">
        <v>1129</v>
      </c>
      <c r="M14" s="101" t="s">
        <v>511</v>
      </c>
      <c r="N14" s="101" t="s">
        <v>1130</v>
      </c>
    </row>
    <row r="15" customFormat="false" ht="16.5" hidden="false" customHeight="true" outlineLevel="0" collapsed="false">
      <c r="A15" s="50" t="s">
        <v>1131</v>
      </c>
      <c r="B15" s="50" t="s">
        <v>199</v>
      </c>
      <c r="C15" s="50" t="s">
        <v>584</v>
      </c>
      <c r="D15" s="50" t="s">
        <v>1084</v>
      </c>
      <c r="E15" s="50" t="n">
        <v>8500</v>
      </c>
      <c r="F15" s="50" t="s">
        <v>530</v>
      </c>
      <c r="G15" s="51" t="s">
        <v>241</v>
      </c>
      <c r="H15" s="50" t="s">
        <v>94</v>
      </c>
      <c r="I15" s="73" t="s">
        <v>1132</v>
      </c>
      <c r="J15" s="48" t="s">
        <v>80</v>
      </c>
      <c r="K15" s="50" t="s">
        <v>139</v>
      </c>
      <c r="L15" s="73" t="s">
        <v>1093</v>
      </c>
      <c r="M15" s="50" t="s">
        <v>517</v>
      </c>
      <c r="N15" s="50" t="s">
        <v>1133</v>
      </c>
    </row>
    <row r="16" customFormat="false" ht="16.5" hidden="false" customHeight="true" outlineLevel="0" collapsed="false">
      <c r="A16" s="101" t="s">
        <v>1134</v>
      </c>
      <c r="B16" s="101" t="s">
        <v>208</v>
      </c>
      <c r="C16" s="101" t="s">
        <v>589</v>
      </c>
      <c r="D16" s="101" t="s">
        <v>1090</v>
      </c>
      <c r="E16" s="101" t="n">
        <v>9800</v>
      </c>
      <c r="F16" s="101" t="s">
        <v>510</v>
      </c>
      <c r="G16" s="102" t="s">
        <v>249</v>
      </c>
      <c r="H16" s="101" t="s">
        <v>1135</v>
      </c>
      <c r="I16" s="103" t="s">
        <v>1136</v>
      </c>
      <c r="J16" s="55" t="s">
        <v>132</v>
      </c>
      <c r="K16" s="101" t="s">
        <v>139</v>
      </c>
      <c r="L16" s="103" t="s">
        <v>1093</v>
      </c>
      <c r="M16" s="101" t="s">
        <v>524</v>
      </c>
      <c r="N16" s="101" t="s">
        <v>677</v>
      </c>
    </row>
    <row r="17" customFormat="false" ht="16.5" hidden="false" customHeight="true" outlineLevel="0" collapsed="false">
      <c r="A17" s="50" t="s">
        <v>1137</v>
      </c>
      <c r="B17" s="50" t="s">
        <v>216</v>
      </c>
      <c r="C17" s="50" t="s">
        <v>593</v>
      </c>
      <c r="D17" s="50" t="s">
        <v>1096</v>
      </c>
      <c r="E17" s="50" t="n">
        <v>38000</v>
      </c>
      <c r="F17" s="50" t="s">
        <v>516</v>
      </c>
      <c r="G17" s="51" t="s">
        <v>257</v>
      </c>
      <c r="H17" s="50" t="s">
        <v>304</v>
      </c>
      <c r="I17" s="73" t="s">
        <v>1138</v>
      </c>
      <c r="J17" s="53" t="s">
        <v>108</v>
      </c>
      <c r="K17" s="50" t="s">
        <v>139</v>
      </c>
      <c r="L17" s="73" t="s">
        <v>1117</v>
      </c>
      <c r="M17" s="50" t="s">
        <v>531</v>
      </c>
      <c r="N17" s="50" t="s">
        <v>847</v>
      </c>
    </row>
    <row r="18" customFormat="false" ht="16.5" hidden="false" customHeight="true" outlineLevel="0" collapsed="false">
      <c r="A18" s="101" t="s">
        <v>1139</v>
      </c>
      <c r="B18" s="101" t="s">
        <v>224</v>
      </c>
      <c r="C18" s="101" t="s">
        <v>597</v>
      </c>
      <c r="D18" s="101" t="s">
        <v>1102</v>
      </c>
      <c r="E18" s="101" t="n">
        <v>110000</v>
      </c>
      <c r="F18" s="101" t="s">
        <v>523</v>
      </c>
      <c r="G18" s="102" t="s">
        <v>265</v>
      </c>
      <c r="H18" s="101" t="s">
        <v>219</v>
      </c>
      <c r="I18" s="103" t="s">
        <v>1140</v>
      </c>
      <c r="J18" s="48" t="s">
        <v>80</v>
      </c>
      <c r="K18" s="101" t="s">
        <v>139</v>
      </c>
      <c r="L18" s="103" t="s">
        <v>1087</v>
      </c>
      <c r="M18" s="101" t="s">
        <v>540</v>
      </c>
      <c r="N18" s="101" t="s">
        <v>625</v>
      </c>
    </row>
    <row r="19" customFormat="false" ht="16.5" hidden="false" customHeight="true" outlineLevel="0" collapsed="false">
      <c r="A19" s="50" t="s">
        <v>1141</v>
      </c>
      <c r="B19" s="50" t="s">
        <v>232</v>
      </c>
      <c r="C19" s="50" t="s">
        <v>601</v>
      </c>
      <c r="D19" s="50" t="s">
        <v>1106</v>
      </c>
      <c r="E19" s="50" t="n">
        <v>67000</v>
      </c>
      <c r="F19" s="50" t="s">
        <v>530</v>
      </c>
      <c r="G19" s="51" t="s">
        <v>273</v>
      </c>
      <c r="H19" s="50" t="s">
        <v>78</v>
      </c>
      <c r="I19" s="73" t="s">
        <v>1080</v>
      </c>
      <c r="J19" s="55" t="s">
        <v>132</v>
      </c>
      <c r="K19" s="50" t="s">
        <v>139</v>
      </c>
      <c r="L19" s="73" t="s">
        <v>1142</v>
      </c>
      <c r="M19" s="50" t="s">
        <v>549</v>
      </c>
      <c r="N19" s="50" t="s">
        <v>1143</v>
      </c>
    </row>
    <row r="20" customFormat="false" ht="16.5" hidden="false" customHeight="true" outlineLevel="0" collapsed="false">
      <c r="A20" s="101" t="s">
        <v>1144</v>
      </c>
      <c r="B20" s="101" t="s">
        <v>240</v>
      </c>
      <c r="C20" s="101" t="s">
        <v>603</v>
      </c>
      <c r="D20" s="101" t="s">
        <v>1111</v>
      </c>
      <c r="E20" s="101" t="n">
        <v>48000</v>
      </c>
      <c r="F20" s="101" t="s">
        <v>510</v>
      </c>
      <c r="G20" s="102" t="s">
        <v>280</v>
      </c>
      <c r="H20" s="101" t="s">
        <v>1085</v>
      </c>
      <c r="I20" s="103" t="s">
        <v>1086</v>
      </c>
      <c r="J20" s="53" t="s">
        <v>108</v>
      </c>
      <c r="K20" s="101" t="s">
        <v>88</v>
      </c>
      <c r="L20" s="103" t="s">
        <v>1093</v>
      </c>
      <c r="M20" s="101" t="s">
        <v>557</v>
      </c>
      <c r="N20" s="101"/>
    </row>
    <row r="21" customFormat="false" ht="16.5" hidden="false" customHeight="true" outlineLevel="0" collapsed="false">
      <c r="A21" s="50" t="s">
        <v>1145</v>
      </c>
      <c r="B21" s="50" t="s">
        <v>248</v>
      </c>
      <c r="C21" s="50" t="s">
        <v>605</v>
      </c>
      <c r="D21" s="50" t="s">
        <v>1114</v>
      </c>
      <c r="E21" s="50" t="n">
        <v>100000</v>
      </c>
      <c r="F21" s="50" t="s">
        <v>516</v>
      </c>
      <c r="G21" s="51" t="s">
        <v>288</v>
      </c>
      <c r="H21" s="50" t="s">
        <v>1091</v>
      </c>
      <c r="I21" s="73" t="s">
        <v>1092</v>
      </c>
      <c r="J21" s="48" t="s">
        <v>80</v>
      </c>
      <c r="K21" s="50" t="s">
        <v>243</v>
      </c>
      <c r="L21" s="73" t="s">
        <v>1117</v>
      </c>
      <c r="M21" s="50" t="s">
        <v>564</v>
      </c>
      <c r="N21" s="50"/>
    </row>
    <row r="22" customFormat="false" ht="16.5" hidden="false" customHeight="true" outlineLevel="0" collapsed="false">
      <c r="A22" s="101" t="s">
        <v>1146</v>
      </c>
      <c r="B22" s="101" t="s">
        <v>256</v>
      </c>
      <c r="C22" s="101" t="s">
        <v>608</v>
      </c>
      <c r="D22" s="101" t="s">
        <v>1119</v>
      </c>
      <c r="E22" s="101" t="n">
        <v>11000</v>
      </c>
      <c r="F22" s="101" t="s">
        <v>523</v>
      </c>
      <c r="G22" s="102" t="s">
        <v>295</v>
      </c>
      <c r="H22" s="101" t="s">
        <v>1097</v>
      </c>
      <c r="I22" s="103" t="s">
        <v>1098</v>
      </c>
      <c r="J22" s="55" t="s">
        <v>132</v>
      </c>
      <c r="K22" s="101" t="s">
        <v>243</v>
      </c>
      <c r="L22" s="103" t="s">
        <v>1093</v>
      </c>
      <c r="M22" s="101" t="s">
        <v>570</v>
      </c>
      <c r="N22" s="101"/>
    </row>
    <row r="23" customFormat="false" ht="16.5" hidden="false" customHeight="true" outlineLevel="0" collapsed="false">
      <c r="A23" s="50" t="s">
        <v>1147</v>
      </c>
      <c r="B23" s="50" t="s">
        <v>264</v>
      </c>
      <c r="C23" s="50" t="s">
        <v>611</v>
      </c>
      <c r="D23" s="50" t="s">
        <v>1123</v>
      </c>
      <c r="E23" s="50" t="n">
        <v>48000</v>
      </c>
      <c r="F23" s="50" t="s">
        <v>530</v>
      </c>
      <c r="G23" s="51" t="s">
        <v>302</v>
      </c>
      <c r="H23" s="50" t="s">
        <v>1103</v>
      </c>
      <c r="I23" s="73" t="s">
        <v>1104</v>
      </c>
      <c r="J23" s="53" t="s">
        <v>108</v>
      </c>
      <c r="K23" s="50" t="s">
        <v>88</v>
      </c>
      <c r="L23" s="73" t="s">
        <v>1142</v>
      </c>
      <c r="M23" s="50" t="s">
        <v>576</v>
      </c>
      <c r="N23" s="50"/>
    </row>
    <row r="24" customFormat="false" ht="16.5" hidden="false" customHeight="true" outlineLevel="0" collapsed="false">
      <c r="A24" s="101" t="s">
        <v>1148</v>
      </c>
      <c r="B24" s="101" t="s">
        <v>272</v>
      </c>
      <c r="C24" s="101" t="s">
        <v>613</v>
      </c>
      <c r="D24" s="101" t="s">
        <v>1079</v>
      </c>
      <c r="E24" s="101" t="n">
        <v>42000</v>
      </c>
      <c r="F24" s="101" t="s">
        <v>510</v>
      </c>
      <c r="G24" s="102" t="s">
        <v>310</v>
      </c>
      <c r="H24" s="101" t="s">
        <v>193</v>
      </c>
      <c r="I24" s="103" t="s">
        <v>1107</v>
      </c>
      <c r="J24" s="48" t="s">
        <v>80</v>
      </c>
      <c r="K24" s="101" t="s">
        <v>243</v>
      </c>
      <c r="L24" s="103" t="s">
        <v>1081</v>
      </c>
      <c r="M24" s="101" t="s">
        <v>511</v>
      </c>
      <c r="N24" s="101"/>
    </row>
    <row r="25" customFormat="false" ht="16.5" hidden="false" customHeight="true" outlineLevel="0" collapsed="false">
      <c r="A25" s="50" t="s">
        <v>1149</v>
      </c>
      <c r="B25" s="50" t="s">
        <v>279</v>
      </c>
      <c r="C25" s="50" t="s">
        <v>615</v>
      </c>
      <c r="D25" s="50" t="s">
        <v>1084</v>
      </c>
      <c r="E25" s="50" t="n">
        <v>38000</v>
      </c>
      <c r="F25" s="50" t="s">
        <v>516</v>
      </c>
      <c r="G25" s="51" t="s">
        <v>318</v>
      </c>
      <c r="H25" s="50" t="s">
        <v>211</v>
      </c>
      <c r="I25" s="73" t="s">
        <v>1112</v>
      </c>
      <c r="J25" s="55" t="s">
        <v>132</v>
      </c>
      <c r="K25" s="50" t="s">
        <v>139</v>
      </c>
      <c r="L25" s="73" t="s">
        <v>1117</v>
      </c>
      <c r="M25" s="50" t="s">
        <v>517</v>
      </c>
      <c r="N25" s="50" t="s">
        <v>1150</v>
      </c>
    </row>
    <row r="26" customFormat="false" ht="16.5" hidden="false" customHeight="true" outlineLevel="0" collapsed="false">
      <c r="A26" s="101" t="s">
        <v>1151</v>
      </c>
      <c r="B26" s="101" t="s">
        <v>287</v>
      </c>
      <c r="C26" s="101" t="s">
        <v>617</v>
      </c>
      <c r="D26" s="101" t="s">
        <v>1090</v>
      </c>
      <c r="E26" s="101" t="n">
        <v>6500</v>
      </c>
      <c r="F26" s="101" t="s">
        <v>523</v>
      </c>
      <c r="G26" s="102" t="s">
        <v>325</v>
      </c>
      <c r="H26" s="101" t="s">
        <v>1115</v>
      </c>
      <c r="I26" s="103" t="s">
        <v>1116</v>
      </c>
      <c r="J26" s="53" t="s">
        <v>108</v>
      </c>
      <c r="K26" s="101" t="s">
        <v>88</v>
      </c>
      <c r="L26" s="103" t="s">
        <v>1081</v>
      </c>
      <c r="M26" s="101" t="s">
        <v>524</v>
      </c>
      <c r="N26" s="101"/>
    </row>
    <row r="27" customFormat="false" ht="16.5" hidden="false" customHeight="true" outlineLevel="0" collapsed="false">
      <c r="A27" s="50" t="s">
        <v>1152</v>
      </c>
      <c r="B27" s="50" t="s">
        <v>294</v>
      </c>
      <c r="C27" s="50" t="s">
        <v>619</v>
      </c>
      <c r="D27" s="50" t="s">
        <v>1096</v>
      </c>
      <c r="E27" s="50" t="n">
        <v>42000</v>
      </c>
      <c r="F27" s="50" t="s">
        <v>530</v>
      </c>
      <c r="G27" s="51" t="s">
        <v>332</v>
      </c>
      <c r="H27" s="50" t="s">
        <v>1120</v>
      </c>
      <c r="I27" s="73" t="s">
        <v>1121</v>
      </c>
      <c r="J27" s="48" t="s">
        <v>80</v>
      </c>
      <c r="K27" s="50" t="s">
        <v>139</v>
      </c>
      <c r="L27" s="73" t="s">
        <v>1117</v>
      </c>
      <c r="M27" s="50" t="s">
        <v>531</v>
      </c>
      <c r="N27" s="50" t="s">
        <v>1153</v>
      </c>
    </row>
    <row r="28" customFormat="false" ht="16.5" hidden="false" customHeight="true" outlineLevel="0" collapsed="false">
      <c r="A28" s="101" t="s">
        <v>1154</v>
      </c>
      <c r="B28" s="101" t="s">
        <v>301</v>
      </c>
      <c r="C28" s="101" t="s">
        <v>621</v>
      </c>
      <c r="D28" s="101" t="s">
        <v>1102</v>
      </c>
      <c r="E28" s="101" t="n">
        <v>55000</v>
      </c>
      <c r="F28" s="101" t="s">
        <v>510</v>
      </c>
      <c r="G28" s="102" t="s">
        <v>339</v>
      </c>
      <c r="H28" s="101" t="s">
        <v>1124</v>
      </c>
      <c r="I28" s="103" t="s">
        <v>1125</v>
      </c>
      <c r="J28" s="55" t="s">
        <v>132</v>
      </c>
      <c r="K28" s="101" t="s">
        <v>139</v>
      </c>
      <c r="L28" s="103" t="s">
        <v>1108</v>
      </c>
      <c r="M28" s="101" t="s">
        <v>540</v>
      </c>
      <c r="N28" s="101" t="s">
        <v>1155</v>
      </c>
    </row>
    <row r="29" customFormat="false" ht="16.5" hidden="false" customHeight="true" outlineLevel="0" collapsed="false">
      <c r="A29" s="50" t="s">
        <v>1156</v>
      </c>
      <c r="B29" s="50" t="s">
        <v>309</v>
      </c>
      <c r="C29" s="50" t="s">
        <v>624</v>
      </c>
      <c r="D29" s="50" t="s">
        <v>1106</v>
      </c>
      <c r="E29" s="50" t="n">
        <v>175000</v>
      </c>
      <c r="F29" s="50" t="s">
        <v>516</v>
      </c>
      <c r="G29" s="51" t="s">
        <v>346</v>
      </c>
      <c r="H29" s="50" t="s">
        <v>118</v>
      </c>
      <c r="I29" s="73" t="s">
        <v>1128</v>
      </c>
      <c r="J29" s="53" t="s">
        <v>108</v>
      </c>
      <c r="K29" s="50" t="s">
        <v>139</v>
      </c>
      <c r="L29" s="73" t="s">
        <v>1108</v>
      </c>
      <c r="M29" s="50" t="s">
        <v>549</v>
      </c>
      <c r="N29" s="50" t="s">
        <v>1157</v>
      </c>
    </row>
    <row r="30" customFormat="false" ht="16.5" hidden="false" customHeight="true" outlineLevel="0" collapsed="false">
      <c r="A30" s="101" t="s">
        <v>1158</v>
      </c>
      <c r="B30" s="101" t="s">
        <v>317</v>
      </c>
      <c r="C30" s="101" t="s">
        <v>627</v>
      </c>
      <c r="D30" s="101" t="s">
        <v>1111</v>
      </c>
      <c r="E30" s="101" t="n">
        <v>25000</v>
      </c>
      <c r="F30" s="101" t="s">
        <v>523</v>
      </c>
      <c r="G30" s="102" t="s">
        <v>354</v>
      </c>
      <c r="H30" s="101" t="s">
        <v>94</v>
      </c>
      <c r="I30" s="103" t="s">
        <v>1132</v>
      </c>
      <c r="J30" s="48" t="s">
        <v>80</v>
      </c>
      <c r="K30" s="101" t="s">
        <v>139</v>
      </c>
      <c r="L30" s="103" t="s">
        <v>1093</v>
      </c>
      <c r="M30" s="101" t="s">
        <v>557</v>
      </c>
      <c r="N30" s="101" t="s">
        <v>807</v>
      </c>
    </row>
    <row r="31" customFormat="false" ht="16.5" hidden="false" customHeight="true" outlineLevel="0" collapsed="false">
      <c r="A31" s="50" t="s">
        <v>1159</v>
      </c>
      <c r="B31" s="50" t="s">
        <v>324</v>
      </c>
      <c r="C31" s="50" t="s">
        <v>629</v>
      </c>
      <c r="D31" s="50" t="s">
        <v>1114</v>
      </c>
      <c r="E31" s="50" t="n">
        <v>200000</v>
      </c>
      <c r="F31" s="50" t="s">
        <v>530</v>
      </c>
      <c r="G31" s="51" t="s">
        <v>361</v>
      </c>
      <c r="H31" s="50" t="s">
        <v>1135</v>
      </c>
      <c r="I31" s="73" t="s">
        <v>1136</v>
      </c>
      <c r="J31" s="55" t="s">
        <v>132</v>
      </c>
      <c r="K31" s="50" t="s">
        <v>139</v>
      </c>
      <c r="L31" s="73" t="s">
        <v>1081</v>
      </c>
      <c r="M31" s="50" t="s">
        <v>564</v>
      </c>
      <c r="N31" s="50" t="s">
        <v>337</v>
      </c>
    </row>
    <row r="32" customFormat="false" ht="16.5" hidden="false" customHeight="true" outlineLevel="0" collapsed="false">
      <c r="A32" s="101" t="s">
        <v>1160</v>
      </c>
      <c r="B32" s="101" t="s">
        <v>331</v>
      </c>
      <c r="C32" s="101" t="s">
        <v>631</v>
      </c>
      <c r="D32" s="101" t="s">
        <v>1119</v>
      </c>
      <c r="E32" s="101" t="n">
        <v>75000</v>
      </c>
      <c r="F32" s="101" t="s">
        <v>510</v>
      </c>
      <c r="G32" s="102" t="s">
        <v>368</v>
      </c>
      <c r="H32" s="101" t="s">
        <v>304</v>
      </c>
      <c r="I32" s="103" t="s">
        <v>1138</v>
      </c>
      <c r="J32" s="53" t="s">
        <v>108</v>
      </c>
      <c r="K32" s="101" t="s">
        <v>139</v>
      </c>
      <c r="L32" s="103" t="s">
        <v>1093</v>
      </c>
      <c r="M32" s="101" t="s">
        <v>570</v>
      </c>
      <c r="N32" s="101" t="s">
        <v>1161</v>
      </c>
    </row>
    <row r="33" customFormat="false" ht="16.5" hidden="false" customHeight="true" outlineLevel="0" collapsed="false">
      <c r="A33" s="50" t="s">
        <v>1162</v>
      </c>
      <c r="B33" s="50" t="s">
        <v>338</v>
      </c>
      <c r="C33" s="50" t="s">
        <v>633</v>
      </c>
      <c r="D33" s="50" t="s">
        <v>1123</v>
      </c>
      <c r="E33" s="50" t="n">
        <v>75000</v>
      </c>
      <c r="F33" s="50" t="s">
        <v>516</v>
      </c>
      <c r="G33" s="51" t="s">
        <v>375</v>
      </c>
      <c r="H33" s="50" t="s">
        <v>219</v>
      </c>
      <c r="I33" s="73" t="s">
        <v>1140</v>
      </c>
      <c r="J33" s="48" t="s">
        <v>80</v>
      </c>
      <c r="K33" s="50" t="s">
        <v>139</v>
      </c>
      <c r="L33" s="73" t="s">
        <v>1129</v>
      </c>
      <c r="M33" s="50" t="s">
        <v>576</v>
      </c>
      <c r="N33" s="50" t="s">
        <v>1163</v>
      </c>
    </row>
    <row r="34" customFormat="false" ht="16.5" hidden="false" customHeight="true" outlineLevel="0" collapsed="false">
      <c r="A34" s="101" t="s">
        <v>1164</v>
      </c>
      <c r="B34" s="101" t="s">
        <v>345</v>
      </c>
      <c r="C34" s="101" t="s">
        <v>635</v>
      </c>
      <c r="D34" s="101" t="s">
        <v>1079</v>
      </c>
      <c r="E34" s="101" t="n">
        <v>88000</v>
      </c>
      <c r="F34" s="101" t="s">
        <v>523</v>
      </c>
      <c r="G34" s="102" t="s">
        <v>382</v>
      </c>
      <c r="H34" s="101" t="s">
        <v>78</v>
      </c>
      <c r="I34" s="103" t="s">
        <v>1080</v>
      </c>
      <c r="J34" s="55" t="s">
        <v>132</v>
      </c>
      <c r="K34" s="101" t="s">
        <v>139</v>
      </c>
      <c r="L34" s="103" t="s">
        <v>1081</v>
      </c>
      <c r="M34" s="101" t="s">
        <v>511</v>
      </c>
      <c r="N34" s="101" t="s">
        <v>1165</v>
      </c>
    </row>
    <row r="35" customFormat="false" ht="16.5" hidden="false" customHeight="true" outlineLevel="0" collapsed="false">
      <c r="A35" s="50" t="s">
        <v>1166</v>
      </c>
      <c r="B35" s="50" t="s">
        <v>353</v>
      </c>
      <c r="C35" s="50" t="s">
        <v>637</v>
      </c>
      <c r="D35" s="50" t="s">
        <v>1084</v>
      </c>
      <c r="E35" s="50" t="n">
        <v>88000</v>
      </c>
      <c r="F35" s="50" t="s">
        <v>530</v>
      </c>
      <c r="G35" s="51" t="s">
        <v>389</v>
      </c>
      <c r="H35" s="50" t="s">
        <v>1085</v>
      </c>
      <c r="I35" s="73" t="s">
        <v>1086</v>
      </c>
      <c r="J35" s="53" t="s">
        <v>108</v>
      </c>
      <c r="K35" s="50" t="s">
        <v>139</v>
      </c>
      <c r="L35" s="73" t="s">
        <v>1093</v>
      </c>
      <c r="M35" s="50" t="s">
        <v>517</v>
      </c>
      <c r="N35" s="50" t="s">
        <v>1167</v>
      </c>
    </row>
    <row r="36" customFormat="false" ht="16.5" hidden="false" customHeight="true" outlineLevel="0" collapsed="false">
      <c r="A36" s="101" t="s">
        <v>1168</v>
      </c>
      <c r="B36" s="101" t="s">
        <v>360</v>
      </c>
      <c r="C36" s="101" t="s">
        <v>640</v>
      </c>
      <c r="D36" s="101" t="s">
        <v>1090</v>
      </c>
      <c r="E36" s="101" t="n">
        <v>67000</v>
      </c>
      <c r="F36" s="101" t="s">
        <v>510</v>
      </c>
      <c r="G36" s="102" t="s">
        <v>396</v>
      </c>
      <c r="H36" s="101" t="s">
        <v>1091</v>
      </c>
      <c r="I36" s="103" t="s">
        <v>1092</v>
      </c>
      <c r="J36" s="48" t="s">
        <v>80</v>
      </c>
      <c r="K36" s="101" t="s">
        <v>243</v>
      </c>
      <c r="L36" s="103" t="s">
        <v>1169</v>
      </c>
      <c r="M36" s="101" t="s">
        <v>524</v>
      </c>
      <c r="N36" s="101"/>
    </row>
    <row r="37" customFormat="false" ht="16.5" hidden="false" customHeight="true" outlineLevel="0" collapsed="false">
      <c r="A37" s="50" t="s">
        <v>1170</v>
      </c>
      <c r="B37" s="50" t="s">
        <v>367</v>
      </c>
      <c r="C37" s="50" t="s">
        <v>643</v>
      </c>
      <c r="D37" s="50" t="s">
        <v>1096</v>
      </c>
      <c r="E37" s="50" t="n">
        <v>110000</v>
      </c>
      <c r="F37" s="50" t="s">
        <v>516</v>
      </c>
      <c r="G37" s="51" t="s">
        <v>403</v>
      </c>
      <c r="H37" s="50" t="s">
        <v>1097</v>
      </c>
      <c r="I37" s="73" t="s">
        <v>1098</v>
      </c>
      <c r="J37" s="55" t="s">
        <v>132</v>
      </c>
      <c r="K37" s="50" t="s">
        <v>88</v>
      </c>
      <c r="L37" s="73" t="s">
        <v>1117</v>
      </c>
      <c r="M37" s="50" t="s">
        <v>531</v>
      </c>
      <c r="N37" s="50"/>
    </row>
    <row r="38" customFormat="false" ht="16.5" hidden="false" customHeight="true" outlineLevel="0" collapsed="false">
      <c r="A38" s="101" t="s">
        <v>1171</v>
      </c>
      <c r="B38" s="101" t="s">
        <v>374</v>
      </c>
      <c r="C38" s="101" t="s">
        <v>645</v>
      </c>
      <c r="D38" s="101" t="s">
        <v>1102</v>
      </c>
      <c r="E38" s="101" t="n">
        <v>9800</v>
      </c>
      <c r="F38" s="101" t="s">
        <v>523</v>
      </c>
      <c r="G38" s="102" t="s">
        <v>411</v>
      </c>
      <c r="H38" s="101" t="s">
        <v>1103</v>
      </c>
      <c r="I38" s="103" t="s">
        <v>1104</v>
      </c>
      <c r="J38" s="53" t="s">
        <v>108</v>
      </c>
      <c r="K38" s="101" t="s">
        <v>139</v>
      </c>
      <c r="L38" s="103" t="s">
        <v>1108</v>
      </c>
      <c r="M38" s="101" t="s">
        <v>540</v>
      </c>
      <c r="N38" s="101" t="s">
        <v>1172</v>
      </c>
    </row>
    <row r="39" customFormat="false" ht="16.5" hidden="false" customHeight="true" outlineLevel="0" collapsed="false">
      <c r="A39" s="50" t="s">
        <v>1173</v>
      </c>
      <c r="B39" s="50" t="s">
        <v>381</v>
      </c>
      <c r="C39" s="50" t="s">
        <v>647</v>
      </c>
      <c r="D39" s="50" t="s">
        <v>1106</v>
      </c>
      <c r="E39" s="50" t="n">
        <v>88000</v>
      </c>
      <c r="F39" s="50" t="s">
        <v>530</v>
      </c>
      <c r="G39" s="51" t="s">
        <v>418</v>
      </c>
      <c r="H39" s="50" t="s">
        <v>193</v>
      </c>
      <c r="I39" s="73" t="s">
        <v>1107</v>
      </c>
      <c r="J39" s="48" t="s">
        <v>80</v>
      </c>
      <c r="K39" s="50" t="s">
        <v>243</v>
      </c>
      <c r="L39" s="73" t="s">
        <v>1081</v>
      </c>
      <c r="M39" s="50" t="s">
        <v>549</v>
      </c>
      <c r="N39" s="50"/>
    </row>
    <row r="40" customFormat="false" ht="16.5" hidden="false" customHeight="true" outlineLevel="0" collapsed="false">
      <c r="A40" s="101" t="s">
        <v>1174</v>
      </c>
      <c r="B40" s="101" t="s">
        <v>388</v>
      </c>
      <c r="C40" s="101" t="s">
        <v>649</v>
      </c>
      <c r="D40" s="101" t="s">
        <v>1111</v>
      </c>
      <c r="E40" s="101" t="n">
        <v>38000</v>
      </c>
      <c r="F40" s="101" t="s">
        <v>510</v>
      </c>
      <c r="G40" s="102" t="s">
        <v>425</v>
      </c>
      <c r="H40" s="101" t="s">
        <v>211</v>
      </c>
      <c r="I40" s="103" t="s">
        <v>1112</v>
      </c>
      <c r="J40" s="55" t="s">
        <v>132</v>
      </c>
      <c r="K40" s="101" t="s">
        <v>139</v>
      </c>
      <c r="L40" s="103" t="s">
        <v>1117</v>
      </c>
      <c r="M40" s="101" t="s">
        <v>557</v>
      </c>
      <c r="N40" s="101" t="s">
        <v>589</v>
      </c>
    </row>
    <row r="41" customFormat="false" ht="16.5" hidden="false" customHeight="true" outlineLevel="0" collapsed="false">
      <c r="A41" s="50" t="s">
        <v>1175</v>
      </c>
      <c r="B41" s="50" t="s">
        <v>395</v>
      </c>
      <c r="C41" s="50" t="s">
        <v>651</v>
      </c>
      <c r="D41" s="50" t="s">
        <v>1114</v>
      </c>
      <c r="E41" s="50" t="n">
        <v>55000</v>
      </c>
      <c r="F41" s="50" t="s">
        <v>516</v>
      </c>
      <c r="G41" s="51" t="s">
        <v>432</v>
      </c>
      <c r="H41" s="50" t="s">
        <v>1115</v>
      </c>
      <c r="I41" s="73" t="s">
        <v>1116</v>
      </c>
      <c r="J41" s="53" t="s">
        <v>108</v>
      </c>
      <c r="K41" s="50" t="s">
        <v>88</v>
      </c>
      <c r="L41" s="73" t="s">
        <v>1117</v>
      </c>
      <c r="M41" s="50" t="s">
        <v>564</v>
      </c>
      <c r="N41" s="50"/>
    </row>
    <row r="42" customFormat="false" ht="16.5" hidden="false" customHeight="true" outlineLevel="0" collapsed="false">
      <c r="A42" s="101" t="s">
        <v>1176</v>
      </c>
      <c r="B42" s="101" t="s">
        <v>402</v>
      </c>
      <c r="C42" s="101" t="s">
        <v>653</v>
      </c>
      <c r="D42" s="101" t="s">
        <v>1119</v>
      </c>
      <c r="E42" s="101" t="n">
        <v>9800</v>
      </c>
      <c r="F42" s="101" t="s">
        <v>523</v>
      </c>
      <c r="G42" s="102" t="s">
        <v>440</v>
      </c>
      <c r="H42" s="101" t="s">
        <v>1120</v>
      </c>
      <c r="I42" s="103" t="s">
        <v>1121</v>
      </c>
      <c r="J42" s="48" t="s">
        <v>80</v>
      </c>
      <c r="K42" s="101" t="s">
        <v>88</v>
      </c>
      <c r="L42" s="103" t="s">
        <v>1177</v>
      </c>
      <c r="M42" s="101" t="s">
        <v>570</v>
      </c>
      <c r="N42" s="101"/>
    </row>
    <row r="43" customFormat="false" ht="16.5" hidden="false" customHeight="true" outlineLevel="0" collapsed="false">
      <c r="A43" s="50" t="s">
        <v>1178</v>
      </c>
      <c r="B43" s="50" t="s">
        <v>410</v>
      </c>
      <c r="C43" s="50" t="s">
        <v>656</v>
      </c>
      <c r="D43" s="50" t="s">
        <v>1123</v>
      </c>
      <c r="E43" s="50" t="n">
        <v>67000</v>
      </c>
      <c r="F43" s="50" t="s">
        <v>530</v>
      </c>
      <c r="G43" s="51" t="s">
        <v>447</v>
      </c>
      <c r="H43" s="50" t="s">
        <v>1124</v>
      </c>
      <c r="I43" s="73" t="s">
        <v>1125</v>
      </c>
      <c r="J43" s="55" t="s">
        <v>132</v>
      </c>
      <c r="K43" s="50" t="s">
        <v>139</v>
      </c>
      <c r="L43" s="73" t="s">
        <v>1117</v>
      </c>
      <c r="M43" s="50" t="s">
        <v>576</v>
      </c>
      <c r="N43" s="50" t="s">
        <v>777</v>
      </c>
    </row>
    <row r="44" customFormat="false" ht="16.5" hidden="false" customHeight="true" outlineLevel="0" collapsed="false">
      <c r="A44" s="101" t="s">
        <v>1179</v>
      </c>
      <c r="B44" s="101" t="s">
        <v>417</v>
      </c>
      <c r="C44" s="101" t="s">
        <v>659</v>
      </c>
      <c r="D44" s="101" t="s">
        <v>1079</v>
      </c>
      <c r="E44" s="101" t="n">
        <v>38000</v>
      </c>
      <c r="F44" s="101" t="s">
        <v>510</v>
      </c>
      <c r="G44" s="102" t="s">
        <v>454</v>
      </c>
      <c r="H44" s="101" t="s">
        <v>118</v>
      </c>
      <c r="I44" s="103" t="s">
        <v>1128</v>
      </c>
      <c r="J44" s="53" t="s">
        <v>108</v>
      </c>
      <c r="K44" s="101" t="s">
        <v>243</v>
      </c>
      <c r="L44" s="103" t="s">
        <v>1169</v>
      </c>
      <c r="M44" s="101" t="s">
        <v>511</v>
      </c>
      <c r="N44" s="101"/>
    </row>
    <row r="45" customFormat="false" ht="16.5" hidden="false" customHeight="true" outlineLevel="0" collapsed="false">
      <c r="A45" s="50" t="s">
        <v>1180</v>
      </c>
      <c r="B45" s="50" t="s">
        <v>424</v>
      </c>
      <c r="C45" s="50" t="s">
        <v>661</v>
      </c>
      <c r="D45" s="50" t="s">
        <v>1084</v>
      </c>
      <c r="E45" s="50" t="n">
        <v>67000</v>
      </c>
      <c r="F45" s="50" t="s">
        <v>516</v>
      </c>
      <c r="G45" s="51" t="s">
        <v>461</v>
      </c>
      <c r="H45" s="50" t="s">
        <v>94</v>
      </c>
      <c r="I45" s="73" t="s">
        <v>1132</v>
      </c>
      <c r="J45" s="48" t="s">
        <v>80</v>
      </c>
      <c r="K45" s="50" t="s">
        <v>243</v>
      </c>
      <c r="L45" s="73" t="s">
        <v>1099</v>
      </c>
      <c r="M45" s="50" t="s">
        <v>517</v>
      </c>
      <c r="N45" s="50"/>
    </row>
    <row r="46" customFormat="false" ht="16.5" hidden="false" customHeight="true" outlineLevel="0" collapsed="false">
      <c r="A46" s="101" t="s">
        <v>1181</v>
      </c>
      <c r="B46" s="101" t="s">
        <v>431</v>
      </c>
      <c r="C46" s="101" t="s">
        <v>663</v>
      </c>
      <c r="D46" s="101" t="s">
        <v>1090</v>
      </c>
      <c r="E46" s="101" t="n">
        <v>9800</v>
      </c>
      <c r="F46" s="101" t="s">
        <v>523</v>
      </c>
      <c r="G46" s="102" t="s">
        <v>469</v>
      </c>
      <c r="H46" s="101" t="s">
        <v>1135</v>
      </c>
      <c r="I46" s="103" t="s">
        <v>1136</v>
      </c>
      <c r="J46" s="55" t="s">
        <v>132</v>
      </c>
      <c r="K46" s="101" t="s">
        <v>139</v>
      </c>
      <c r="L46" s="103" t="s">
        <v>1087</v>
      </c>
      <c r="M46" s="101" t="s">
        <v>524</v>
      </c>
      <c r="N46" s="101" t="s">
        <v>785</v>
      </c>
    </row>
    <row r="47" customFormat="false" ht="16.5" hidden="false" customHeight="true" outlineLevel="0" collapsed="false">
      <c r="A47" s="50" t="s">
        <v>1182</v>
      </c>
      <c r="B47" s="50" t="s">
        <v>439</v>
      </c>
      <c r="C47" s="50" t="s">
        <v>665</v>
      </c>
      <c r="D47" s="50" t="s">
        <v>1096</v>
      </c>
      <c r="E47" s="50" t="n">
        <v>42000</v>
      </c>
      <c r="F47" s="50" t="s">
        <v>530</v>
      </c>
      <c r="G47" s="51" t="s">
        <v>476</v>
      </c>
      <c r="H47" s="50" t="s">
        <v>304</v>
      </c>
      <c r="I47" s="73" t="s">
        <v>1138</v>
      </c>
      <c r="J47" s="53" t="s">
        <v>108</v>
      </c>
      <c r="K47" s="50" t="s">
        <v>139</v>
      </c>
      <c r="L47" s="73" t="s">
        <v>1169</v>
      </c>
      <c r="M47" s="50" t="s">
        <v>531</v>
      </c>
      <c r="N47" s="50" t="s">
        <v>1183</v>
      </c>
    </row>
    <row r="48" customFormat="false" ht="16.5" hidden="false" customHeight="true" outlineLevel="0" collapsed="false">
      <c r="A48" s="101" t="s">
        <v>1184</v>
      </c>
      <c r="B48" s="101" t="s">
        <v>446</v>
      </c>
      <c r="C48" s="101" t="s">
        <v>667</v>
      </c>
      <c r="D48" s="101" t="s">
        <v>1102</v>
      </c>
      <c r="E48" s="101" t="n">
        <v>67000</v>
      </c>
      <c r="F48" s="101" t="s">
        <v>510</v>
      </c>
      <c r="G48" s="102" t="s">
        <v>483</v>
      </c>
      <c r="H48" s="101" t="s">
        <v>219</v>
      </c>
      <c r="I48" s="103" t="s">
        <v>1140</v>
      </c>
      <c r="J48" s="48" t="s">
        <v>80</v>
      </c>
      <c r="K48" s="101" t="s">
        <v>139</v>
      </c>
      <c r="L48" s="103" t="s">
        <v>1093</v>
      </c>
      <c r="M48" s="101" t="s">
        <v>540</v>
      </c>
      <c r="N48" s="101" t="s">
        <v>1185</v>
      </c>
    </row>
    <row r="49" customFormat="false" ht="16.5" hidden="false" customHeight="true" outlineLevel="0" collapsed="false">
      <c r="A49" s="50" t="s">
        <v>1186</v>
      </c>
      <c r="B49" s="50" t="s">
        <v>453</v>
      </c>
      <c r="C49" s="50" t="s">
        <v>669</v>
      </c>
      <c r="D49" s="50" t="s">
        <v>1106</v>
      </c>
      <c r="E49" s="50" t="n">
        <v>200000</v>
      </c>
      <c r="F49" s="50" t="s">
        <v>516</v>
      </c>
      <c r="G49" s="51" t="s">
        <v>76</v>
      </c>
      <c r="H49" s="50" t="s">
        <v>78</v>
      </c>
      <c r="I49" s="73" t="s">
        <v>1080</v>
      </c>
      <c r="J49" s="55" t="s">
        <v>132</v>
      </c>
      <c r="K49" s="50" t="s">
        <v>139</v>
      </c>
      <c r="L49" s="73" t="s">
        <v>1087</v>
      </c>
      <c r="M49" s="50" t="s">
        <v>549</v>
      </c>
      <c r="N49" s="50" t="s">
        <v>1187</v>
      </c>
    </row>
    <row r="50" customFormat="false" ht="16.5" hidden="false" customHeight="true" outlineLevel="0" collapsed="false">
      <c r="A50" s="101" t="s">
        <v>1188</v>
      </c>
      <c r="B50" s="101" t="s">
        <v>460</v>
      </c>
      <c r="C50" s="101" t="s">
        <v>672</v>
      </c>
      <c r="D50" s="101" t="s">
        <v>1111</v>
      </c>
      <c r="E50" s="101" t="n">
        <v>88000</v>
      </c>
      <c r="F50" s="101" t="s">
        <v>523</v>
      </c>
      <c r="G50" s="102" t="s">
        <v>92</v>
      </c>
      <c r="H50" s="101" t="s">
        <v>1085</v>
      </c>
      <c r="I50" s="103" t="s">
        <v>1086</v>
      </c>
      <c r="J50" s="53" t="s">
        <v>108</v>
      </c>
      <c r="K50" s="101" t="s">
        <v>139</v>
      </c>
      <c r="L50" s="103" t="s">
        <v>1129</v>
      </c>
      <c r="M50" s="101" t="s">
        <v>557</v>
      </c>
      <c r="N50" s="101" t="s">
        <v>1189</v>
      </c>
    </row>
    <row r="51" customFormat="false" ht="16.5" hidden="false" customHeight="true" outlineLevel="0" collapsed="false">
      <c r="A51" s="50" t="s">
        <v>1190</v>
      </c>
      <c r="B51" s="50" t="s">
        <v>468</v>
      </c>
      <c r="C51" s="50" t="s">
        <v>675</v>
      </c>
      <c r="D51" s="50" t="s">
        <v>1114</v>
      </c>
      <c r="E51" s="50" t="n">
        <v>9800</v>
      </c>
      <c r="F51" s="50" t="s">
        <v>530</v>
      </c>
      <c r="G51" s="51" t="s">
        <v>104</v>
      </c>
      <c r="H51" s="50" t="s">
        <v>1091</v>
      </c>
      <c r="I51" s="73" t="s">
        <v>1092</v>
      </c>
      <c r="J51" s="48" t="s">
        <v>80</v>
      </c>
      <c r="K51" s="50" t="s">
        <v>243</v>
      </c>
      <c r="L51" s="73" t="s">
        <v>1169</v>
      </c>
      <c r="M51" s="50" t="s">
        <v>564</v>
      </c>
      <c r="N51" s="50"/>
    </row>
    <row r="52" customFormat="false" ht="16.5" hidden="false" customHeight="true" outlineLevel="0" collapsed="false">
      <c r="A52" s="101" t="s">
        <v>1191</v>
      </c>
      <c r="B52" s="101" t="s">
        <v>475</v>
      </c>
      <c r="C52" s="101" t="s">
        <v>677</v>
      </c>
      <c r="D52" s="101" t="s">
        <v>1119</v>
      </c>
      <c r="E52" s="101" t="n">
        <v>15000</v>
      </c>
      <c r="F52" s="101" t="s">
        <v>510</v>
      </c>
      <c r="G52" s="102" t="s">
        <v>116</v>
      </c>
      <c r="H52" s="101" t="s">
        <v>1097</v>
      </c>
      <c r="I52" s="103" t="s">
        <v>1098</v>
      </c>
      <c r="J52" s="55" t="s">
        <v>132</v>
      </c>
      <c r="K52" s="101" t="s">
        <v>139</v>
      </c>
      <c r="L52" s="103" t="s">
        <v>1129</v>
      </c>
      <c r="M52" s="101" t="s">
        <v>570</v>
      </c>
      <c r="N52" s="101" t="s">
        <v>1192</v>
      </c>
    </row>
    <row r="53" customFormat="false" ht="16.5" hidden="false" customHeight="true" outlineLevel="0" collapsed="false">
      <c r="A53" s="50" t="s">
        <v>1193</v>
      </c>
      <c r="B53" s="50" t="s">
        <v>482</v>
      </c>
      <c r="C53" s="50" t="s">
        <v>679</v>
      </c>
      <c r="D53" s="50" t="s">
        <v>1123</v>
      </c>
      <c r="E53" s="50" t="n">
        <v>9800</v>
      </c>
      <c r="F53" s="50" t="s">
        <v>516</v>
      </c>
      <c r="G53" s="51" t="s">
        <v>128</v>
      </c>
      <c r="H53" s="50" t="s">
        <v>1103</v>
      </c>
      <c r="I53" s="73" t="s">
        <v>1104</v>
      </c>
      <c r="J53" s="53" t="s">
        <v>108</v>
      </c>
      <c r="K53" s="50" t="s">
        <v>139</v>
      </c>
      <c r="L53" s="73" t="s">
        <v>1093</v>
      </c>
      <c r="M53" s="50" t="s">
        <v>576</v>
      </c>
      <c r="N53" s="50" t="s">
        <v>1194</v>
      </c>
    </row>
  </sheetData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39.75" hidden="false" customHeight="true" outlineLevel="0" collapsed="false">
      <c r="A1" s="104" t="s">
        <v>1195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</row>
    <row r="2" customFormat="false" ht="18" hidden="false" customHeight="true" outlineLevel="0" collapsed="false">
      <c r="A2" s="105" t="s">
        <v>1196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</row>
    <row r="3" customFormat="false" ht="24" hidden="false" customHeight="true" outlineLevel="0" collapsed="false">
      <c r="A3" s="106" t="s">
        <v>1197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</row>
    <row r="4" customFormat="false" ht="19.5" hidden="false" customHeight="true" outlineLevel="0" collapsed="false">
      <c r="A4" s="107" t="s">
        <v>1198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</row>
    <row r="5" customFormat="false" ht="19.5" hidden="false" customHeight="true" outlineLevel="0" collapsed="false">
      <c r="A5" s="107" t="s">
        <v>1199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</row>
    <row r="6" customFormat="false" ht="19.5" hidden="false" customHeight="true" outlineLevel="0" collapsed="false">
      <c r="A6" s="107" t="s">
        <v>1200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</row>
    <row r="7" customFormat="false" ht="19.5" hidden="false" customHeight="true" outlineLevel="0" collapsed="false">
      <c r="A7" s="107" t="s">
        <v>1201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</row>
    <row r="9" customFormat="false" ht="24" hidden="false" customHeight="true" outlineLevel="0" collapsed="false">
      <c r="A9" s="106" t="s">
        <v>1202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</row>
    <row r="10" customFormat="false" ht="19.5" hidden="false" customHeight="true" outlineLevel="0" collapsed="false">
      <c r="A10" s="108" t="s">
        <v>1203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</row>
    <row r="11" customFormat="false" ht="19.5" hidden="false" customHeight="true" outlineLevel="0" collapsed="false">
      <c r="A11" s="108" t="s">
        <v>1204</v>
      </c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</row>
    <row r="12" customFormat="false" ht="19.5" hidden="false" customHeight="true" outlineLevel="0" collapsed="false">
      <c r="A12" s="108" t="s">
        <v>1205</v>
      </c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</row>
    <row r="13" customFormat="false" ht="19.5" hidden="false" customHeight="true" outlineLevel="0" collapsed="false">
      <c r="A13" s="108" t="s">
        <v>1206</v>
      </c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</row>
    <row r="14" customFormat="false" ht="19.5" hidden="false" customHeight="true" outlineLevel="0" collapsed="false">
      <c r="A14" s="108" t="s">
        <v>1207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</row>
    <row r="16" customFormat="false" ht="24" hidden="false" customHeight="true" outlineLevel="0" collapsed="false">
      <c r="A16" s="106" t="s">
        <v>1208</v>
      </c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</row>
    <row r="17" customFormat="false" ht="19.5" hidden="false" customHeight="true" outlineLevel="0" collapsed="false">
      <c r="A17" s="107" t="s">
        <v>1209</v>
      </c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</row>
    <row r="18" customFormat="false" ht="19.5" hidden="false" customHeight="true" outlineLevel="0" collapsed="false">
      <c r="A18" s="107" t="s">
        <v>1210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</row>
    <row r="19" customFormat="false" ht="19.5" hidden="false" customHeight="true" outlineLevel="0" collapsed="false">
      <c r="A19" s="107" t="s">
        <v>1211</v>
      </c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</row>
    <row r="20" customFormat="false" ht="19.5" hidden="false" customHeight="true" outlineLevel="0" collapsed="false">
      <c r="A20" s="107" t="s">
        <v>1212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</row>
    <row r="21" customFormat="false" ht="19.5" hidden="false" customHeight="true" outlineLevel="0" collapsed="false">
      <c r="A21" s="107" t="s">
        <v>1213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</row>
    <row r="23" customFormat="false" ht="24" hidden="false" customHeight="true" outlineLevel="0" collapsed="false">
      <c r="A23" s="106" t="s">
        <v>1214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</row>
    <row r="24" customFormat="false" ht="19.5" hidden="false" customHeight="true" outlineLevel="0" collapsed="false">
      <c r="A24" s="108" t="s">
        <v>1215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</row>
    <row r="25" customFormat="false" ht="19.5" hidden="false" customHeight="true" outlineLevel="0" collapsed="false">
      <c r="A25" s="108" t="s">
        <v>1216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</row>
    <row r="26" customFormat="false" ht="19.5" hidden="false" customHeight="true" outlineLevel="0" collapsed="false">
      <c r="A26" s="108" t="s">
        <v>1217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</row>
    <row r="27" customFormat="false" ht="19.5" hidden="false" customHeight="true" outlineLevel="0" collapsed="false">
      <c r="A27" s="108" t="s">
        <v>1218</v>
      </c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</row>
    <row r="28" customFormat="false" ht="19.5" hidden="false" customHeight="true" outlineLevel="0" collapsed="false">
      <c r="A28" s="108" t="s">
        <v>1219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</row>
    <row r="30" customFormat="false" ht="24" hidden="false" customHeight="true" outlineLevel="0" collapsed="false">
      <c r="A30" s="106" t="s">
        <v>1220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</row>
    <row r="31" customFormat="false" ht="19.5" hidden="false" customHeight="true" outlineLevel="0" collapsed="false">
      <c r="A31" s="109" t="s">
        <v>1221</v>
      </c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</row>
    <row r="32" customFormat="false" ht="19.5" hidden="false" customHeight="true" outlineLevel="0" collapsed="false">
      <c r="A32" s="109" t="s">
        <v>1222</v>
      </c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</row>
    <row r="33" customFormat="false" ht="19.5" hidden="false" customHeight="true" outlineLevel="0" collapsed="false">
      <c r="A33" s="109" t="s">
        <v>1223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</row>
    <row r="34" customFormat="false" ht="19.5" hidden="false" customHeight="true" outlineLevel="0" collapsed="false">
      <c r="A34" s="109" t="s">
        <v>1224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</row>
    <row r="36" customFormat="false" ht="24" hidden="false" customHeight="true" outlineLevel="0" collapsed="false">
      <c r="A36" s="106" t="s">
        <v>1225</v>
      </c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</row>
    <row r="37" customFormat="false" ht="19.5" hidden="false" customHeight="true" outlineLevel="0" collapsed="false">
      <c r="A37" s="110" t="s">
        <v>1226</v>
      </c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</row>
    <row r="38" customFormat="false" ht="19.5" hidden="false" customHeight="true" outlineLevel="0" collapsed="false">
      <c r="A38" s="110" t="s">
        <v>1227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</row>
    <row r="39" customFormat="false" ht="19.5" hidden="false" customHeight="true" outlineLevel="0" collapsed="false">
      <c r="A39" s="110" t="s">
        <v>1228</v>
      </c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</row>
    <row r="41" customFormat="false" ht="24" hidden="false" customHeight="true" outlineLevel="0" collapsed="false">
      <c r="A41" s="106" t="s">
        <v>1229</v>
      </c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</row>
    <row r="42" customFormat="false" ht="19.5" hidden="false" customHeight="true" outlineLevel="0" collapsed="false">
      <c r="A42" s="111" t="s">
        <v>1230</v>
      </c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</row>
    <row r="43" customFormat="false" ht="19.5" hidden="false" customHeight="true" outlineLevel="0" collapsed="false">
      <c r="A43" s="111" t="s">
        <v>1231</v>
      </c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</row>
    <row r="44" customFormat="false" ht="19.5" hidden="false" customHeight="true" outlineLevel="0" collapsed="false">
      <c r="A44" s="111" t="s">
        <v>1232</v>
      </c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</row>
    <row r="45" customFormat="false" ht="19.5" hidden="false" customHeight="true" outlineLevel="0" collapsed="false">
      <c r="A45" s="111" t="s">
        <v>1233</v>
      </c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</row>
    <row r="46" customFormat="false" ht="19.5" hidden="false" customHeight="true" outlineLevel="0" collapsed="false">
      <c r="A46" s="111" t="s">
        <v>1234</v>
      </c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</row>
    <row r="47" customFormat="false" ht="19.5" hidden="false" customHeight="true" outlineLevel="0" collapsed="false">
      <c r="A47" s="111" t="s">
        <v>1235</v>
      </c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</row>
    <row r="49" customFormat="false" ht="24" hidden="false" customHeight="true" outlineLevel="0" collapsed="false">
      <c r="A49" s="106" t="s">
        <v>1236</v>
      </c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</row>
    <row r="50" customFormat="false" ht="19.5" hidden="false" customHeight="true" outlineLevel="0" collapsed="false">
      <c r="A50" s="107" t="s">
        <v>1237</v>
      </c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</row>
    <row r="51" customFormat="false" ht="19.5" hidden="false" customHeight="true" outlineLevel="0" collapsed="false">
      <c r="A51" s="107" t="s">
        <v>1238</v>
      </c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</row>
    <row r="52" customFormat="false" ht="19.5" hidden="false" customHeight="true" outlineLevel="0" collapsed="false">
      <c r="A52" s="107" t="s">
        <v>1239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</row>
    <row r="53" customFormat="false" ht="19.5" hidden="false" customHeight="true" outlineLevel="0" collapsed="false">
      <c r="A53" s="107" t="s">
        <v>1240</v>
      </c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</row>
    <row r="54" customFormat="false" ht="19.5" hidden="false" customHeight="true" outlineLevel="0" collapsed="false">
      <c r="A54" s="107" t="s">
        <v>1241</v>
      </c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</row>
    <row r="55" customFormat="false" ht="19.5" hidden="false" customHeight="true" outlineLevel="0" collapsed="false">
      <c r="A55" s="107" t="s">
        <v>1242</v>
      </c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</row>
    <row r="56" customFormat="false" ht="19.5" hidden="false" customHeight="true" outlineLevel="0" collapsed="false">
      <c r="A56" s="107" t="s">
        <v>1243</v>
      </c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</row>
  </sheetData>
  <mergeCells count="49">
    <mergeCell ref="A1:Q1"/>
    <mergeCell ref="A2:Q2"/>
    <mergeCell ref="A3:N3"/>
    <mergeCell ref="A4:N4"/>
    <mergeCell ref="A5:N5"/>
    <mergeCell ref="A6:N6"/>
    <mergeCell ref="A7:N7"/>
    <mergeCell ref="A9:N9"/>
    <mergeCell ref="A10:N10"/>
    <mergeCell ref="A11:N11"/>
    <mergeCell ref="A12:N12"/>
    <mergeCell ref="A13:N13"/>
    <mergeCell ref="A14:N14"/>
    <mergeCell ref="A16:N16"/>
    <mergeCell ref="A17:N17"/>
    <mergeCell ref="A18:N18"/>
    <mergeCell ref="A19:N19"/>
    <mergeCell ref="A20:N20"/>
    <mergeCell ref="A21:N21"/>
    <mergeCell ref="A23:N23"/>
    <mergeCell ref="A24:N24"/>
    <mergeCell ref="A25:N25"/>
    <mergeCell ref="A26:N26"/>
    <mergeCell ref="A27:N27"/>
    <mergeCell ref="A28:N28"/>
    <mergeCell ref="A30:N30"/>
    <mergeCell ref="A31:N31"/>
    <mergeCell ref="A32:N32"/>
    <mergeCell ref="A33:N33"/>
    <mergeCell ref="A34:N34"/>
    <mergeCell ref="A36:N36"/>
    <mergeCell ref="A37:N37"/>
    <mergeCell ref="A38:N38"/>
    <mergeCell ref="A39:N39"/>
    <mergeCell ref="A41:N41"/>
    <mergeCell ref="A42:N42"/>
    <mergeCell ref="A43:N43"/>
    <mergeCell ref="A44:N44"/>
    <mergeCell ref="A45:N45"/>
    <mergeCell ref="A46:N46"/>
    <mergeCell ref="A47:N47"/>
    <mergeCell ref="A49:N49"/>
    <mergeCell ref="A50:N50"/>
    <mergeCell ref="A51:N51"/>
    <mergeCell ref="A52:N52"/>
    <mergeCell ref="A53:N53"/>
    <mergeCell ref="A54:N54"/>
    <mergeCell ref="A55:N55"/>
    <mergeCell ref="A56:N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2026-06-03T06:36:23Z</dcterms:created>
  <dc:creator>openpyxl</dc:creator>
  <dc:description/>
  <dc:language>en-US</dc:language>
  <cp:lastModifiedBy/>
  <dcterms:modified xsi:type="dcterms:W3CDTF">2026-06-03T06:36:34Z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