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🏠 Dashboard" sheetId="1" state="visible" r:id="rId1"/>
    <sheet xmlns:r="http://schemas.openxmlformats.org/officeDocument/2006/relationships" name="📋 KYC Register" sheetId="2" state="visible" r:id="rId2"/>
    <sheet xmlns:r="http://schemas.openxmlformats.org/officeDocument/2006/relationships" name="🚨 AML Alerts" sheetId="3" state="visible" r:id="rId3"/>
    <sheet xmlns:r="http://schemas.openxmlformats.org/officeDocument/2006/relationships" name="🔍 EDD Cases" sheetId="4" state="visible" r:id="rId4"/>
    <sheet xmlns:r="http://schemas.openxmlformats.org/officeDocument/2006/relationships" name="📝 SAR Log" sheetId="5" state="visible" r:id="rId5"/>
    <sheet xmlns:r="http://schemas.openxmlformats.org/officeDocument/2006/relationships" name="⚖️ Risk Matrix" sheetId="6" state="visible" r:id="rId6"/>
    <sheet xmlns:r="http://schemas.openxmlformats.org/officeDocument/2006/relationships" name="💸 Transaction Monitor" sheetId="7" state="visible" r:id="rId7"/>
    <sheet xmlns:r="http://schemas.openxmlformats.org/officeDocument/2006/relationships" name="📊 Power BI Guid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\%"/>
  </numFmts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22"/>
    </font>
    <font>
      <name val="Calibri"/>
      <charset val="1"/>
      <family val="0"/>
      <i val="1"/>
      <color rgb="FF90A4AE"/>
      <sz val="10"/>
    </font>
    <font>
      <name val="Calibri"/>
      <charset val="1"/>
      <family val="0"/>
      <b val="1"/>
      <color rgb="FF0D47A1"/>
      <sz val="9"/>
    </font>
    <font>
      <name val="Calibri"/>
      <charset val="1"/>
      <family val="0"/>
      <b val="1"/>
      <color rgb="FFE53935"/>
      <sz val="9"/>
    </font>
    <font>
      <name val="Calibri"/>
      <charset val="1"/>
      <family val="0"/>
      <b val="1"/>
      <color rgb="FF00695C"/>
      <sz val="9"/>
    </font>
    <font>
      <name val="Calibri"/>
      <charset val="1"/>
      <family val="0"/>
      <b val="1"/>
      <color rgb="FFFF8F00"/>
      <sz val="9"/>
    </font>
    <font>
      <name val="Calibri"/>
      <charset val="1"/>
      <family val="0"/>
      <b val="1"/>
      <color rgb="FF1565C0"/>
      <sz val="9"/>
    </font>
    <font>
      <name val="Calibri"/>
      <charset val="1"/>
      <family val="0"/>
      <b val="1"/>
      <color rgb="FF4A148C"/>
      <sz val="9"/>
    </font>
    <font>
      <name val="Calibri"/>
      <charset val="1"/>
      <family val="0"/>
      <b val="1"/>
      <color rgb="FF0D47A1"/>
      <sz val="18"/>
    </font>
    <font>
      <name val="Calibri"/>
      <charset val="1"/>
      <family val="0"/>
      <b val="1"/>
      <color rgb="FFE53935"/>
      <sz val="18"/>
    </font>
    <font>
      <name val="Calibri"/>
      <charset val="1"/>
      <family val="0"/>
      <b val="1"/>
      <color rgb="FF00695C"/>
      <sz val="18"/>
    </font>
    <font>
      <name val="Calibri"/>
      <charset val="1"/>
      <family val="0"/>
      <b val="1"/>
      <color rgb="FFFF8F00"/>
      <sz val="18"/>
    </font>
    <font>
      <name val="Calibri"/>
      <charset val="1"/>
      <family val="0"/>
      <b val="1"/>
      <color rgb="FF1565C0"/>
      <sz val="18"/>
    </font>
    <font>
      <name val="Calibri"/>
      <charset val="1"/>
      <family val="0"/>
      <b val="1"/>
      <color rgb="FF4A148C"/>
      <sz val="18"/>
    </font>
    <font>
      <name val="Calibri"/>
      <charset val="1"/>
      <family val="0"/>
      <i val="1"/>
      <color rgb="FF607D8B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B5E20"/>
      <sz val="10"/>
    </font>
    <font>
      <name val="Calibri"/>
      <charset val="1"/>
      <family val="0"/>
      <color rgb="FF1B5E20"/>
      <sz val="10"/>
    </font>
    <font>
      <name val="Calibri"/>
      <charset val="1"/>
      <family val="0"/>
      <color rgb="FF263238"/>
      <sz val="10"/>
    </font>
    <font>
      <name val="Calibri"/>
      <charset val="1"/>
      <family val="0"/>
      <b val="1"/>
      <color rgb="FFFF8F00"/>
      <sz val="10"/>
    </font>
    <font>
      <name val="Calibri"/>
      <charset val="1"/>
      <family val="0"/>
      <color rgb="FFFF8F00"/>
      <sz val="10"/>
    </font>
    <font>
      <name val="Calibri"/>
      <charset val="1"/>
      <family val="0"/>
      <b val="1"/>
      <color rgb="FFB71C1C"/>
      <sz val="10"/>
    </font>
    <font>
      <name val="Calibri"/>
      <charset val="1"/>
      <family val="0"/>
      <color rgb="FFB71C1C"/>
      <sz val="10"/>
    </font>
    <font>
      <name val="Calibri"/>
      <charset val="1"/>
      <family val="0"/>
      <b val="1"/>
      <color rgb="FF4A148C"/>
      <sz val="10"/>
    </font>
    <font>
      <name val="Calibri"/>
      <charset val="1"/>
      <family val="0"/>
      <color rgb="FF4A148C"/>
      <sz val="10"/>
    </font>
    <font>
      <name val="Calibri"/>
      <charset val="1"/>
      <family val="0"/>
      <b val="1"/>
      <color rgb="FF880E4F"/>
      <sz val="10"/>
    </font>
    <font>
      <name val="Calibri"/>
      <charset val="1"/>
      <family val="0"/>
      <color rgb="FF880E4F"/>
      <sz val="10"/>
    </font>
    <font>
      <name val="Calibri"/>
      <charset val="1"/>
      <family val="0"/>
      <b val="1"/>
      <color rgb="FF0D47A1"/>
      <sz val="10"/>
    </font>
    <font>
      <name val="Calibri"/>
      <charset val="1"/>
      <family val="0"/>
      <color rgb="FF0D47A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B0BEC5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B5E20"/>
      <sz val="12"/>
    </font>
    <font>
      <name val="Calibri"/>
      <charset val="1"/>
      <family val="0"/>
      <b val="1"/>
      <color rgb="FFFF8F00"/>
      <sz val="12"/>
    </font>
    <font>
      <name val="Calibri"/>
      <charset val="1"/>
      <family val="0"/>
      <b val="1"/>
      <color rgb="FF0D47A1"/>
      <sz val="12"/>
    </font>
    <font>
      <name val="Calibri"/>
      <charset val="1"/>
      <family val="0"/>
      <b val="1"/>
      <color rgb="FFB71C1C"/>
      <sz val="12"/>
    </font>
    <font>
      <name val="Calibri"/>
      <charset val="1"/>
      <family val="0"/>
      <b val="1"/>
      <color rgb="FF4A148C"/>
      <sz val="12"/>
    </font>
    <font>
      <name val="Calibri"/>
      <charset val="1"/>
      <family val="0"/>
      <i val="1"/>
      <color rgb="FFEF9A9A"/>
      <sz val="10"/>
    </font>
    <font>
      <name val="Calibri"/>
      <charset val="1"/>
      <family val="0"/>
      <i val="1"/>
      <color rgb="FFCE93D8"/>
      <sz val="10"/>
    </font>
    <font>
      <name val="Calibri"/>
      <charset val="1"/>
      <family val="0"/>
      <i val="1"/>
      <color rgb="FFB2DFDB"/>
      <sz val="10"/>
    </font>
    <font>
      <name val="Calibri"/>
      <charset val="1"/>
      <family val="0"/>
      <b val="1"/>
      <sz val="10"/>
    </font>
    <font>
      <name val="Calibri"/>
      <charset val="1"/>
      <family val="0"/>
      <i val="1"/>
      <color rgb="FF607D8B"/>
      <sz val="10"/>
    </font>
    <font>
      <name val="Calibri"/>
      <charset val="1"/>
      <family val="0"/>
      <b val="1"/>
      <color rgb="FFF9A825"/>
      <sz val="13"/>
    </font>
    <font>
      <name val="Calibri"/>
      <charset val="1"/>
      <family val="0"/>
      <i val="1"/>
      <color rgb="FF9FA8DA"/>
      <sz val="10"/>
    </font>
    <font>
      <name val="Calibri"/>
      <charset val="1"/>
      <family val="0"/>
      <b val="1"/>
      <color rgb="FF1B1B1B"/>
      <sz val="16"/>
    </font>
    <font>
      <name val="Calibri"/>
      <charset val="1"/>
      <family val="0"/>
      <i val="1"/>
      <color rgb="FF1B1B1B"/>
      <sz val="10"/>
    </font>
  </fonts>
  <fills count="29">
    <fill>
      <patternFill/>
    </fill>
    <fill>
      <patternFill patternType="gray125"/>
    </fill>
    <fill>
      <patternFill patternType="solid">
        <fgColor rgb="FF1B2A4A"/>
        <bgColor rgb="FF1C313A"/>
      </patternFill>
    </fill>
    <fill>
      <patternFill patternType="solid">
        <fgColor rgb="FF263238"/>
        <bgColor rgb="FF1C313A"/>
      </patternFill>
    </fill>
    <fill>
      <patternFill patternType="solid">
        <fgColor rgb="FFE3F2FD"/>
        <bgColor rgb="FFE0F2F1"/>
      </patternFill>
    </fill>
    <fill>
      <patternFill patternType="solid">
        <fgColor rgb="FFFFEBEE"/>
        <bgColor rgb="FFFCE4EC"/>
      </patternFill>
    </fill>
    <fill>
      <patternFill patternType="solid">
        <fgColor rgb="FFE0F2F1"/>
        <bgColor rgb="FFE3F2FD"/>
      </patternFill>
    </fill>
    <fill>
      <patternFill patternType="solid">
        <fgColor rgb="FFFFF8E1"/>
        <bgColor rgb="FFF9F9F9"/>
      </patternFill>
    </fill>
    <fill>
      <patternFill patternType="solid">
        <fgColor rgb="FFE8EAF6"/>
        <bgColor rgb="FFEDE7F6"/>
      </patternFill>
    </fill>
    <fill>
      <patternFill patternType="solid">
        <fgColor rgb="FFF3E5F5"/>
        <bgColor rgb="FFEDE7F6"/>
      </patternFill>
    </fill>
    <fill>
      <patternFill patternType="solid">
        <fgColor rgb="FF1565C0"/>
        <bgColor rgb="FF0D47A1"/>
      </patternFill>
    </fill>
    <fill>
      <patternFill patternType="solid">
        <fgColor rgb="FFE8F5E9"/>
        <bgColor rgb="FFE0F2F1"/>
      </patternFill>
    </fill>
    <fill>
      <patternFill patternType="solid">
        <fgColor rgb="FFFFFFFF"/>
        <bgColor rgb="FFF9F9F9"/>
      </patternFill>
    </fill>
    <fill>
      <patternFill patternType="solid">
        <fgColor rgb="FFEDE7F6"/>
        <bgColor rgb="FFE8EAF6"/>
      </patternFill>
    </fill>
    <fill>
      <patternFill patternType="solid">
        <fgColor rgb="FFFCE4EC"/>
        <bgColor rgb="FFFFEBEE"/>
      </patternFill>
    </fill>
    <fill>
      <patternFill patternType="solid">
        <fgColor rgb="FF1C313A"/>
        <bgColor rgb="FF263238"/>
      </patternFill>
    </fill>
    <fill>
      <patternFill patternType="solid">
        <fgColor rgb="FF0D47A1"/>
        <bgColor rgb="FF1565C0"/>
      </patternFill>
    </fill>
    <fill>
      <patternFill patternType="solid">
        <fgColor rgb="FFECEFF1"/>
        <bgColor rgb="FFE8EAF6"/>
      </patternFill>
    </fill>
    <fill>
      <patternFill patternType="solid">
        <fgColor rgb="FFB71C1C"/>
        <bgColor rgb="FF880E4F"/>
      </patternFill>
    </fill>
    <fill>
      <patternFill patternType="solid">
        <fgColor rgb="FF4A0000"/>
        <bgColor rgb="FF800000"/>
      </patternFill>
    </fill>
    <fill>
      <patternFill patternType="solid">
        <fgColor rgb="FF4A148C"/>
        <bgColor rgb="FF1A237E"/>
      </patternFill>
    </fill>
    <fill>
      <patternFill patternType="solid">
        <fgColor rgb="FF1A0035"/>
        <bgColor rgb="FF0D0D3A"/>
      </patternFill>
    </fill>
    <fill>
      <patternFill patternType="solid">
        <fgColor rgb="FF00695C"/>
        <bgColor rgb="FF004D40"/>
      </patternFill>
    </fill>
    <fill>
      <patternFill patternType="solid">
        <fgColor rgb="FF004D40"/>
        <bgColor rgb="FF1B5E20"/>
      </patternFill>
    </fill>
    <fill>
      <patternFill patternType="solid">
        <fgColor rgb="FF37474F"/>
        <bgColor rgb="FF263238"/>
      </patternFill>
    </fill>
    <fill>
      <patternFill patternType="solid">
        <fgColor rgb="FF1A237E"/>
        <bgColor rgb="FF1B2A4A"/>
      </patternFill>
    </fill>
    <fill>
      <patternFill patternType="solid">
        <fgColor rgb="FF0D0D3A"/>
        <bgColor rgb="FF1A0035"/>
      </patternFill>
    </fill>
    <fill>
      <patternFill patternType="solid">
        <fgColor rgb="FFF2C811"/>
        <bgColor rgb="FFF9A825"/>
      </patternFill>
    </fill>
    <fill>
      <patternFill patternType="solid">
        <fgColor rgb="FFB8860B"/>
        <bgColor rgb="FFFF8F00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9" fillId="10" borderId="0" applyAlignment="1" pivotButton="0" quotePrefix="0" xfId="0">
      <alignment horizontal="general" vertical="center"/>
    </xf>
    <xf numFmtId="0" fontId="19" fillId="3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center" vertical="center"/>
    </xf>
    <xf numFmtId="9" fontId="21" fillId="11" borderId="1" applyAlignment="1" pivotButton="0" quotePrefix="0" xfId="0">
      <alignment horizontal="center" vertical="center"/>
    </xf>
    <xf numFmtId="165" fontId="21" fillId="11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9" fontId="24" fillId="7" borderId="1" applyAlignment="1" pivotButton="0" quotePrefix="0" xfId="0">
      <alignment horizontal="center" vertical="center"/>
    </xf>
    <xf numFmtId="165" fontId="24" fillId="7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/>
    </xf>
    <xf numFmtId="0" fontId="26" fillId="5" borderId="1" applyAlignment="1" pivotButton="0" quotePrefix="0" xfId="0">
      <alignment horizontal="center" vertical="center"/>
    </xf>
    <xf numFmtId="9" fontId="26" fillId="5" borderId="1" applyAlignment="1" pivotButton="0" quotePrefix="0" xfId="0">
      <alignment horizontal="center" vertical="center"/>
    </xf>
    <xf numFmtId="165" fontId="26" fillId="5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0" fontId="28" fillId="13" borderId="1" applyAlignment="1" pivotButton="0" quotePrefix="0" xfId="0">
      <alignment horizontal="center" vertical="center"/>
    </xf>
    <xf numFmtId="9" fontId="28" fillId="13" borderId="1" applyAlignment="1" pivotButton="0" quotePrefix="0" xfId="0">
      <alignment horizontal="center" vertical="center"/>
    </xf>
    <xf numFmtId="165" fontId="28" fillId="13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center" vertical="center"/>
    </xf>
    <xf numFmtId="9" fontId="30" fillId="14" borderId="1" applyAlignment="1" pivotButton="0" quotePrefix="0" xfId="0">
      <alignment horizontal="center" vertical="center"/>
    </xf>
    <xf numFmtId="165" fontId="30" fillId="1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 vertical="center"/>
    </xf>
    <xf numFmtId="9" fontId="32" fillId="4" borderId="1" applyAlignment="1" pivotButton="0" quotePrefix="0" xfId="0">
      <alignment horizontal="center" vertical="center"/>
    </xf>
    <xf numFmtId="165" fontId="32" fillId="4" borderId="1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7" fillId="15" borderId="0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center" vertical="center"/>
    </xf>
    <xf numFmtId="0" fontId="38" fillId="11" borderId="1" applyAlignment="1" pivotButton="0" quotePrefix="0" xfId="0">
      <alignment horizontal="center" vertical="center"/>
    </xf>
    <xf numFmtId="0" fontId="38" fillId="12" borderId="1" applyAlignment="1" pivotButton="0" quotePrefix="0" xfId="0">
      <alignment horizontal="center" vertical="center"/>
    </xf>
    <xf numFmtId="0" fontId="38" fillId="12" borderId="1" applyAlignment="1" pivotButton="0" quotePrefix="0" xfId="0">
      <alignment horizontal="left" vertical="center"/>
    </xf>
    <xf numFmtId="0" fontId="38" fillId="5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38" fillId="7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23" fillId="7" borderId="2" applyAlignment="1" pivotButton="0" quotePrefix="0" xfId="0">
      <alignment horizontal="center" vertical="center"/>
    </xf>
    <xf numFmtId="0" fontId="40" fillId="7" borderId="1" applyAlignment="1" pivotButton="0" quotePrefix="0" xfId="0">
      <alignment horizontal="center" vertical="center"/>
    </xf>
    <xf numFmtId="0" fontId="31" fillId="4" borderId="2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42" fillId="5" borderId="1" applyAlignment="1" pivotButton="0" quotePrefix="0" xfId="0">
      <alignment horizontal="center" vertical="center"/>
    </xf>
    <xf numFmtId="0" fontId="27" fillId="13" borderId="2" applyAlignment="1" pivotButton="0" quotePrefix="0" xfId="0">
      <alignment horizontal="center" vertical="center"/>
    </xf>
    <xf numFmtId="0" fontId="43" fillId="13" borderId="1" applyAlignment="1" pivotButton="0" quotePrefix="0" xfId="0">
      <alignment horizontal="center" vertical="center"/>
    </xf>
    <xf numFmtId="0" fontId="36" fillId="18" borderId="0" applyAlignment="1" pivotButton="0" quotePrefix="0" xfId="0">
      <alignment horizontal="center" vertical="center"/>
    </xf>
    <xf numFmtId="0" fontId="44" fillId="19" borderId="0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left" vertical="center" wrapText="1"/>
    </xf>
    <xf numFmtId="0" fontId="38" fillId="12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center" vertical="center"/>
    </xf>
    <xf numFmtId="0" fontId="36" fillId="20" borderId="0" applyAlignment="1" pivotButton="0" quotePrefix="0" xfId="0">
      <alignment horizontal="center" vertical="center"/>
    </xf>
    <xf numFmtId="0" fontId="45" fillId="21" borderId="0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38" fillId="9" borderId="1" applyAlignment="1" pivotButton="0" quotePrefix="0" xfId="0">
      <alignment horizontal="center" vertical="center"/>
    </xf>
    <xf numFmtId="0" fontId="38" fillId="9" borderId="1" applyAlignment="1" pivotButton="0" quotePrefix="0" xfId="0">
      <alignment horizontal="left" vertical="center"/>
    </xf>
    <xf numFmtId="0" fontId="38" fillId="9" borderId="1" applyAlignment="1" pivotButton="0" quotePrefix="0" xfId="0">
      <alignment horizontal="left" vertical="center" wrapText="1"/>
    </xf>
    <xf numFmtId="0" fontId="36" fillId="22" borderId="0" applyAlignment="1" pivotButton="0" quotePrefix="0" xfId="0">
      <alignment horizontal="center" vertical="center"/>
    </xf>
    <xf numFmtId="0" fontId="46" fillId="23" borderId="0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 wrapText="1"/>
    </xf>
    <xf numFmtId="0" fontId="36" fillId="3" borderId="0" applyAlignment="1" pivotButton="0" quotePrefix="0" xfId="0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47" fillId="17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166" fontId="38" fillId="17" borderId="1" applyAlignment="1" pivotButton="0" quotePrefix="0" xfId="0">
      <alignment horizontal="center" vertical="center"/>
    </xf>
    <xf numFmtId="0" fontId="48" fillId="17" borderId="1" applyAlignment="1" pivotButton="0" quotePrefix="0" xfId="0">
      <alignment horizontal="left" vertical="center"/>
    </xf>
    <xf numFmtId="0" fontId="47" fillId="12" borderId="1" applyAlignment="1" pivotButton="0" quotePrefix="0" xfId="0">
      <alignment horizontal="left" vertical="center"/>
    </xf>
    <xf numFmtId="166" fontId="38" fillId="12" borderId="1" applyAlignment="1" pivotButton="0" quotePrefix="0" xfId="0">
      <alignment horizontal="center" vertical="center"/>
    </xf>
    <xf numFmtId="0" fontId="48" fillId="12" borderId="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center"/>
    </xf>
    <xf numFmtId="0" fontId="36" fillId="25" borderId="0" applyAlignment="1" pivotButton="0" quotePrefix="0" xfId="0">
      <alignment horizontal="center" vertical="center"/>
    </xf>
    <xf numFmtId="0" fontId="50" fillId="26" borderId="0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38" fillId="8" borderId="1" applyAlignment="1" pivotButton="0" quotePrefix="0" xfId="0">
      <alignment horizontal="center" vertical="center"/>
    </xf>
    <xf numFmtId="0" fontId="38" fillId="8" borderId="1" applyAlignment="1" pivotButton="0" quotePrefix="0" xfId="0">
      <alignment horizontal="left" vertical="center"/>
    </xf>
    <xf numFmtId="0" fontId="38" fillId="8" borderId="1" applyAlignment="1" pivotButton="0" quotePrefix="0" xfId="0">
      <alignment horizontal="left" vertical="center" wrapText="1"/>
    </xf>
    <xf numFmtId="0" fontId="51" fillId="27" borderId="0" applyAlignment="1" pivotButton="0" quotePrefix="0" xfId="0">
      <alignment horizontal="center" vertical="center"/>
    </xf>
    <xf numFmtId="0" fontId="52" fillId="28" borderId="0" applyAlignment="1" pivotButton="0" quotePrefix="0" xfId="0">
      <alignment horizontal="center" vertical="center"/>
    </xf>
    <xf numFmtId="0" fontId="19" fillId="16" borderId="2" applyAlignment="1" pivotButton="0" quotePrefix="0" xfId="0">
      <alignment horizontal="general" vertical="center" wrapText="1"/>
    </xf>
    <xf numFmtId="0" fontId="22" fillId="4" borderId="2" applyAlignment="1" pivotButton="0" quotePrefix="0" xfId="0">
      <alignment horizontal="general" vertical="center" wrapText="1"/>
    </xf>
    <xf numFmtId="0" fontId="22" fillId="17" borderId="2" applyAlignment="1" pivotButton="0" quotePrefix="0" xfId="0">
      <alignment horizontal="general" vertical="center" wrapText="1"/>
    </xf>
    <xf numFmtId="0" fontId="22" fillId="7" borderId="2" applyAlignment="1" pivotButton="0" quotePrefix="0" xfId="0">
      <alignment horizontal="general" vertical="center" wrapText="1"/>
    </xf>
    <xf numFmtId="0" fontId="22" fillId="8" borderId="2" applyAlignment="1" pivotButton="0" quotePrefix="0" xfId="0">
      <alignment horizontal="general" vertical="center" wrapText="1"/>
    </xf>
    <xf numFmtId="0" fontId="21" fillId="11" borderId="2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19" fillId="10" borderId="0" applyAlignment="1" pivotButton="0" quotePrefix="0" xfId="0">
      <alignment horizontal="general" vertical="center"/>
    </xf>
    <xf numFmtId="0" fontId="19" fillId="3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center" vertical="center"/>
    </xf>
    <xf numFmtId="9" fontId="21" fillId="11" borderId="1" applyAlignment="1" pivotButton="0" quotePrefix="0" xfId="0">
      <alignment horizontal="center" vertical="center"/>
    </xf>
    <xf numFmtId="165" fontId="21" fillId="11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9" fontId="24" fillId="7" borderId="1" applyAlignment="1" pivotButton="0" quotePrefix="0" xfId="0">
      <alignment horizontal="center" vertical="center"/>
    </xf>
    <xf numFmtId="165" fontId="24" fillId="7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/>
    </xf>
    <xf numFmtId="0" fontId="26" fillId="5" borderId="1" applyAlignment="1" pivotButton="0" quotePrefix="0" xfId="0">
      <alignment horizontal="center" vertical="center"/>
    </xf>
    <xf numFmtId="9" fontId="26" fillId="5" borderId="1" applyAlignment="1" pivotButton="0" quotePrefix="0" xfId="0">
      <alignment horizontal="center" vertical="center"/>
    </xf>
    <xf numFmtId="165" fontId="26" fillId="5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0" fontId="28" fillId="13" borderId="1" applyAlignment="1" pivotButton="0" quotePrefix="0" xfId="0">
      <alignment horizontal="center" vertical="center"/>
    </xf>
    <xf numFmtId="9" fontId="28" fillId="13" borderId="1" applyAlignment="1" pivotButton="0" quotePrefix="0" xfId="0">
      <alignment horizontal="center" vertical="center"/>
    </xf>
    <xf numFmtId="165" fontId="28" fillId="13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center" vertical="center"/>
    </xf>
    <xf numFmtId="9" fontId="30" fillId="14" borderId="1" applyAlignment="1" pivotButton="0" quotePrefix="0" xfId="0">
      <alignment horizontal="center" vertical="center"/>
    </xf>
    <xf numFmtId="165" fontId="30" fillId="1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left" vertical="center"/>
    </xf>
    <xf numFmtId="0" fontId="32" fillId="4" borderId="1" applyAlignment="1" pivotButton="0" quotePrefix="0" xfId="0">
      <alignment horizontal="center" vertical="center"/>
    </xf>
    <xf numFmtId="9" fontId="32" fillId="4" borderId="1" applyAlignment="1" pivotButton="0" quotePrefix="0" xfId="0">
      <alignment horizontal="center" vertical="center"/>
    </xf>
    <xf numFmtId="165" fontId="32" fillId="4" borderId="1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7" fillId="15" borderId="0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left" vertical="center"/>
    </xf>
    <xf numFmtId="0" fontId="20" fillId="11" borderId="1" applyAlignment="1" pivotButton="0" quotePrefix="0" xfId="0">
      <alignment horizontal="center" vertical="center"/>
    </xf>
    <xf numFmtId="0" fontId="38" fillId="11" borderId="1" applyAlignment="1" pivotButton="0" quotePrefix="0" xfId="0">
      <alignment horizontal="center" vertical="center"/>
    </xf>
    <xf numFmtId="0" fontId="38" fillId="12" borderId="1" applyAlignment="1" pivotButton="0" quotePrefix="0" xfId="0">
      <alignment horizontal="center" vertical="center"/>
    </xf>
    <xf numFmtId="0" fontId="38" fillId="12" borderId="1" applyAlignment="1" pivotButton="0" quotePrefix="0" xfId="0">
      <alignment horizontal="left" vertical="center"/>
    </xf>
    <xf numFmtId="0" fontId="38" fillId="5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38" fillId="7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0" fontId="0" fillId="0" borderId="6" pivotButton="0" quotePrefix="0" xfId="0"/>
    <xf numFmtId="0" fontId="39" fillId="11" borderId="1" applyAlignment="1" pivotButton="0" quotePrefix="0" xfId="0">
      <alignment horizontal="center" vertical="center"/>
    </xf>
    <xf numFmtId="0" fontId="23" fillId="7" borderId="2" applyAlignment="1" pivotButton="0" quotePrefix="0" xfId="0">
      <alignment horizontal="center" vertical="center"/>
    </xf>
    <xf numFmtId="0" fontId="40" fillId="7" borderId="1" applyAlignment="1" pivotButton="0" quotePrefix="0" xfId="0">
      <alignment horizontal="center" vertical="center"/>
    </xf>
    <xf numFmtId="0" fontId="31" fillId="4" borderId="2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42" fillId="5" borderId="1" applyAlignment="1" pivotButton="0" quotePrefix="0" xfId="0">
      <alignment horizontal="center" vertical="center"/>
    </xf>
    <xf numFmtId="0" fontId="27" fillId="13" borderId="2" applyAlignment="1" pivotButton="0" quotePrefix="0" xfId="0">
      <alignment horizontal="center" vertical="center"/>
    </xf>
    <xf numFmtId="0" fontId="43" fillId="13" borderId="1" applyAlignment="1" pivotButton="0" quotePrefix="0" xfId="0">
      <alignment horizontal="center" vertical="center"/>
    </xf>
    <xf numFmtId="0" fontId="36" fillId="18" borderId="0" applyAlignment="1" pivotButton="0" quotePrefix="0" xfId="0">
      <alignment horizontal="center" vertical="center"/>
    </xf>
    <xf numFmtId="0" fontId="44" fillId="19" borderId="0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38" fillId="17" borderId="1" applyAlignment="1" pivotButton="0" quotePrefix="0" xfId="0">
      <alignment horizontal="left" vertical="center" wrapText="1"/>
    </xf>
    <xf numFmtId="0" fontId="38" fillId="12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center" vertical="center"/>
    </xf>
    <xf numFmtId="0" fontId="36" fillId="20" borderId="0" applyAlignment="1" pivotButton="0" quotePrefix="0" xfId="0">
      <alignment horizontal="center" vertical="center"/>
    </xf>
    <xf numFmtId="0" fontId="45" fillId="21" borderId="0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38" fillId="9" borderId="1" applyAlignment="1" pivotButton="0" quotePrefix="0" xfId="0">
      <alignment horizontal="center" vertical="center"/>
    </xf>
    <xf numFmtId="0" fontId="38" fillId="9" borderId="1" applyAlignment="1" pivotButton="0" quotePrefix="0" xfId="0">
      <alignment horizontal="left" vertical="center"/>
    </xf>
    <xf numFmtId="0" fontId="38" fillId="9" borderId="1" applyAlignment="1" pivotButton="0" quotePrefix="0" xfId="0">
      <alignment horizontal="left" vertical="center" wrapText="1"/>
    </xf>
    <xf numFmtId="0" fontId="36" fillId="22" borderId="0" applyAlignment="1" pivotButton="0" quotePrefix="0" xfId="0">
      <alignment horizontal="center" vertical="center"/>
    </xf>
    <xf numFmtId="0" fontId="46" fillId="23" borderId="0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 wrapText="1"/>
    </xf>
    <xf numFmtId="0" fontId="36" fillId="3" borderId="0" applyAlignment="1" pivotButton="0" quotePrefix="0" xfId="0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47" fillId="17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166" fontId="38" fillId="17" borderId="1" applyAlignment="1" pivotButton="0" quotePrefix="0" xfId="0">
      <alignment horizontal="center" vertical="center"/>
    </xf>
    <xf numFmtId="0" fontId="48" fillId="17" borderId="1" applyAlignment="1" pivotButton="0" quotePrefix="0" xfId="0">
      <alignment horizontal="left" vertical="center"/>
    </xf>
    <xf numFmtId="0" fontId="47" fillId="12" borderId="1" applyAlignment="1" pivotButton="0" quotePrefix="0" xfId="0">
      <alignment horizontal="left" vertical="center"/>
    </xf>
    <xf numFmtId="166" fontId="38" fillId="12" borderId="1" applyAlignment="1" pivotButton="0" quotePrefix="0" xfId="0">
      <alignment horizontal="center" vertical="center"/>
    </xf>
    <xf numFmtId="0" fontId="48" fillId="12" borderId="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center"/>
    </xf>
    <xf numFmtId="0" fontId="36" fillId="25" borderId="0" applyAlignment="1" pivotButton="0" quotePrefix="0" xfId="0">
      <alignment horizontal="center" vertical="center"/>
    </xf>
    <xf numFmtId="0" fontId="50" fillId="26" borderId="0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38" fillId="8" borderId="1" applyAlignment="1" pivotButton="0" quotePrefix="0" xfId="0">
      <alignment horizontal="center" vertical="center"/>
    </xf>
    <xf numFmtId="0" fontId="38" fillId="8" borderId="1" applyAlignment="1" pivotButton="0" quotePrefix="0" xfId="0">
      <alignment horizontal="left" vertical="center"/>
    </xf>
    <xf numFmtId="0" fontId="38" fillId="8" borderId="1" applyAlignment="1" pivotButton="0" quotePrefix="0" xfId="0">
      <alignment horizontal="left" vertical="center" wrapText="1"/>
    </xf>
    <xf numFmtId="0" fontId="51" fillId="27" borderId="0" applyAlignment="1" pivotButton="0" quotePrefix="0" xfId="0">
      <alignment horizontal="center" vertical="center"/>
    </xf>
    <xf numFmtId="0" fontId="52" fillId="28" borderId="0" applyAlignment="1" pivotButton="0" quotePrefix="0" xfId="0">
      <alignment horizontal="center" vertical="center"/>
    </xf>
    <xf numFmtId="0" fontId="19" fillId="16" borderId="2" applyAlignment="1" pivotButton="0" quotePrefix="0" xfId="0">
      <alignment horizontal="general" vertical="center" wrapText="1"/>
    </xf>
    <xf numFmtId="0" fontId="22" fillId="4" borderId="2" applyAlignment="1" pivotButton="0" quotePrefix="0" xfId="0">
      <alignment horizontal="general" vertical="center" wrapText="1"/>
    </xf>
    <xf numFmtId="0" fontId="22" fillId="17" borderId="2" applyAlignment="1" pivotButton="0" quotePrefix="0" xfId="0">
      <alignment horizontal="general" vertical="center" wrapText="1"/>
    </xf>
    <xf numFmtId="0" fontId="22" fillId="7" borderId="2" applyAlignment="1" pivotButton="0" quotePrefix="0" xfId="0">
      <alignment horizontal="general" vertical="center" wrapText="1"/>
    </xf>
    <xf numFmtId="0" fontId="22" fillId="8" borderId="2" applyAlignment="1" pivotButton="0" quotePrefix="0" xfId="0">
      <alignment horizontal="general" vertical="center" wrapText="1"/>
    </xf>
    <xf numFmtId="0" fontId="21" fillId="11" borderId="2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D47A1"/>
      <rgbColor rgb="FFECEFF1"/>
      <rgbColor rgb="FFFF00FF"/>
      <rgbColor rgb="FFEDE7F6"/>
      <rgbColor rgb="FF4A0000"/>
      <rgbColor rgb="FF1B5E20"/>
      <rgbColor rgb="FF0D0D3A"/>
      <rgbColor rgb="FFB8860B"/>
      <rgbColor rgb="FF880E4F"/>
      <rgbColor rgb="FF00695C"/>
      <rgbColor rgb="FFBDBDBD"/>
      <rgbColor rgb="FF878787"/>
      <rgbColor rgb="FF9FA8DA"/>
      <rgbColor rgb="FFBE4B48"/>
      <rgbColor rgb="FFFFF8E1"/>
      <rgbColor rgb="FFE0F2F1"/>
      <rgbColor rgb="FF4A148C"/>
      <rgbColor rgb="FFF9A825"/>
      <rgbColor rgb="FF1565C0"/>
      <rgbColor rgb="FFD9D9D9"/>
      <rgbColor rgb="FF1A0035"/>
      <rgbColor rgb="FFFF00FF"/>
      <rgbColor rgb="FFF9F9F9"/>
      <rgbColor rgb="FF00FFFF"/>
      <rgbColor rgb="FF800080"/>
      <rgbColor rgb="FF800000"/>
      <rgbColor rgb="FF004D40"/>
      <rgbColor rgb="FF0000FF"/>
      <rgbColor rgb="FFF3E5F5"/>
      <rgbColor rgb="FFE3F2FD"/>
      <rgbColor rgb="FFE8F5E9"/>
      <rgbColor rgb="FFFFEBEE"/>
      <rgbColor rgb="FFB2DFDB"/>
      <rgbColor rgb="FFEF9A9A"/>
      <rgbColor rgb="FFCE93D8"/>
      <rgbColor rgb="FFFCE4EC"/>
      <rgbColor rgb="FF4A7EBB"/>
      <rgbColor rgb="FFE8EAF6"/>
      <rgbColor rgb="FFB0BEC5"/>
      <rgbColor rgb="FFF2C811"/>
      <rgbColor rgb="FFFF8F00"/>
      <rgbColor rgb="FFE53935"/>
      <rgbColor rgb="FF607D8B"/>
      <rgbColor rgb="FF90A4AE"/>
      <rgbColor rgb="FF1B2A4A"/>
      <rgbColor rgb="FF4F81BD"/>
      <rgbColor rgb="FF1B1B1B"/>
      <rgbColor rgb="FF1C313A"/>
      <rgbColor rgb="FFB71C1C"/>
      <rgbColor rgb="FF37474F"/>
      <rgbColor rgb="FF1A237E"/>
      <rgbColor rgb="FF2632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Customer Risk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'🏠 Dashboard'!C13</f>
              <strCache>
                <ptCount val="1"/>
                <pt idx="0">
                  <v>Customers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'🏠 Dashboard'!$B$14:$B$19</f>
              <strCache>
                <ptCount val="6"/>
                <pt idx="0">
                  <v>Low Risk</v>
                </pt>
                <pt idx="1">
                  <v>Medium Risk</v>
                </pt>
                <pt idx="2">
                  <v>High Risk</v>
                </pt>
                <pt idx="3">
                  <v>PEP</v>
                </pt>
                <pt idx="4">
                  <v>Sanctioned</v>
                </pt>
                <pt idx="5">
                  <v>Under Review</v>
                </pt>
              </strCache>
            </strRef>
          </cat>
          <val>
            <numRef>
              <f>'🏠 Dashboard'!$C$14:$C$19</f>
              <numCache>
                <formatCode>General</formatCode>
                <ptCount val="6"/>
                <pt idx="0">
                  <v>20</v>
                </pt>
                <pt idx="1">
                  <v>17</v>
                </pt>
                <pt idx="2">
                  <v>13</v>
                </pt>
                <pt idx="3">
                  <v>8</v>
                </pt>
                <pt idx="4">
                  <v>4</v>
                </pt>
                <pt idx="5">
                  <v>11</v>
                </pt>
              </numCache>
            </numRef>
          </val>
        </ser>
        <gapWidth val="150"/>
        <overlap val="0"/>
        <axId val="95402315"/>
        <axId val="86624741"/>
      </barChart>
      <catAx>
        <axId val="9540231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624741"/>
        <crosses val="autoZero"/>
        <auto val="1"/>
        <lblAlgn val="ctr"/>
        <lblOffset val="100"/>
        <noMultiLvlLbl val="0"/>
      </catAx>
      <valAx>
        <axId val="8662474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40231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Alert &amp; SAR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'🏠 Dashboard'!L13</f>
              <strCache>
                <ptCount val="1"/>
                <pt idx="0">
                  <v>Alerts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4752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'🏠 Dashboard'!$K$14:$K$25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'🏠 Dashboard'!$L$14:$L$25</f>
              <numCache>
                <formatCode>General</formatCode>
                <ptCount val="12"/>
                <pt idx="0">
                  <v>2</v>
                </pt>
                <pt idx="1">
                  <v>3</v>
                </pt>
                <pt idx="2">
                  <v>3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3</v>
                </pt>
                <pt idx="7">
                  <v>3</v>
                </pt>
                <pt idx="8">
                  <v>4</v>
                </pt>
                <pt idx="9">
                  <v>2</v>
                </pt>
                <pt idx="10">
                  <v>2</v>
                </pt>
                <pt idx="11">
                  <v>1</v>
                </pt>
              </numCache>
            </numRef>
          </val>
          <smooth val="1"/>
        </ser>
        <ser>
          <idx val="1"/>
          <order val="1"/>
          <tx>
            <strRef>
              <f>'🏠 Dashboard'!M13</f>
              <strCache>
                <ptCount val="1"/>
                <pt idx="0">
                  <v>SARs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'🏠 Dashboard'!$K$14:$K$25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'🏠 Dashboard'!$M$14:$M$25</f>
              <numCache>
                <formatCode>General</formatCode>
                <ptCount val="12"/>
                <pt idx="0">
                  <v>3</v>
                </pt>
                <pt idx="1">
                  <v>1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1</v>
                </pt>
                <pt idx="8">
                  <v>2</v>
                </pt>
                <pt idx="9">
                  <v>2</v>
                </pt>
                <pt idx="10">
                  <v>1</v>
                </pt>
                <pt idx="11">
                  <v>3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2044783"/>
        <axId val="81313034"/>
      </lineChart>
      <catAx>
        <axId val="9204478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1313034"/>
        <crosses val="autoZero"/>
        <auto val="1"/>
        <lblAlgn val="ctr"/>
        <lblOffset val="100"/>
        <noMultiLvlLbl val="0"/>
      </catAx>
      <valAx>
        <axId val="8131303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204478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20</row>
      <rowOff>0</rowOff>
    </from>
    <to>
      <col>10</col>
      <colOff>105120</colOff>
      <row>36</row>
      <rowOff>143280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0</colOff>
      <row>20</row>
      <rowOff>0</rowOff>
    </from>
    <to>
      <col>18</col>
      <colOff>306720</colOff>
      <row>36</row>
      <rowOff>143280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25" min="1" max="1"/>
    <col width="15" customWidth="1" style="125" min="2" max="2"/>
    <col width="12" customWidth="1" style="125" min="3" max="3"/>
    <col width="13" customWidth="1" style="125" min="4" max="4"/>
    <col width="10" customWidth="1" style="125" min="5" max="5"/>
    <col width="12" customWidth="1" style="125" min="6" max="6"/>
    <col width="2" customWidth="1" style="125" min="7" max="10"/>
    <col width="10" customWidth="1" style="125" min="11" max="16"/>
  </cols>
  <sheetData>
    <row r="1" ht="7.5" customHeight="1" s="126">
      <c r="A1" s="127" t="inlineStr">
        <is>
          <t>AML / KYC / EDD  —  COMPLIANCE MONITORING DASHBOARD  (50 Records)</t>
        </is>
      </c>
    </row>
    <row r="2" ht="31.5" customHeight="1" s="126"/>
    <row r="3" ht="21.75" customHeight="1" s="126"/>
    <row r="4" ht="7.5" customHeight="1" s="126"/>
    <row r="5" ht="18" customHeight="1" s="126">
      <c r="A5" s="128" t="inlineStr">
        <is>
          <t>Report Period: FY 2024  |  50 Customer Records  |  As of 03 Jun 2026  |  Compliance &amp; Risk Management</t>
        </is>
      </c>
    </row>
    <row r="6" ht="7.5" customHeight="1" s="126"/>
    <row r="7" ht="18" customHeight="1" s="126">
      <c r="B7" s="129" t="inlineStr">
        <is>
          <t>TOTAL CUSTOMERS</t>
        </is>
      </c>
      <c r="C7" s="130" t="n"/>
      <c r="E7" s="131" t="inlineStr">
        <is>
          <t>HIGH RISK ALERTS</t>
        </is>
      </c>
      <c r="F7" s="130" t="n"/>
      <c r="H7" s="132" t="inlineStr">
        <is>
          <t>KYC COMPLETED</t>
        </is>
      </c>
      <c r="I7" s="130" t="n"/>
      <c r="K7" s="133" t="inlineStr">
        <is>
          <t>EDD CASES OPEN</t>
        </is>
      </c>
      <c r="L7" s="130" t="n"/>
      <c r="N7" s="134" t="inlineStr">
        <is>
          <t>SAR FILINGS</t>
        </is>
      </c>
      <c r="O7" s="130" t="n"/>
      <c r="Q7" s="135" t="inlineStr">
        <is>
          <t>PEP CUSTOMERS</t>
        </is>
      </c>
      <c r="R7" s="130" t="n"/>
    </row>
    <row r="8" ht="18" customHeight="1" s="126">
      <c r="B8" s="136">
        <f>IFERROR(COUNTA('📋 KYC Register'!A4:A53),0)</f>
        <v/>
      </c>
      <c r="C8" s="130" t="n"/>
      <c r="E8" s="137">
        <f>IFERROR(COUNTIF('🚨 AML Alerts'!H4:H53,"High")+COUNTIF('🚨 AML Alerts'!H4:H53,"Critical"),0)</f>
        <v/>
      </c>
      <c r="F8" s="130" t="n"/>
      <c r="H8" s="138" t="n">
        <v>25</v>
      </c>
      <c r="I8" s="130" t="n"/>
      <c r="K8" s="139">
        <f>IFERROR(COUNTIF('🔍 EDD Cases'!O4:O53,"Open")+COUNTIF('🔍 EDD Cases'!O4:O53,"In Progress")+COUNTIF('🔍 EDD Cases'!O4:O53,"Overdue")+COUNTIF('🔍 EDD Cases'!O4:O53,"Escalated")+COUNTIF('🔍 EDD Cases'!O4:O53,"Pending Docs"),0)</f>
        <v/>
      </c>
      <c r="L8" s="130" t="n"/>
      <c r="N8" s="140" t="n">
        <v>19</v>
      </c>
      <c r="O8" s="130" t="n"/>
      <c r="Q8" s="141">
        <f>IFERROR(COUNTIF('📋 KYC Register'!N4:N53,"Yes"),0)</f>
        <v/>
      </c>
      <c r="R8" s="130" t="n"/>
    </row>
    <row r="9" ht="18" customHeight="1" s="126">
      <c r="B9" s="142" t="inlineStr">
        <is>
          <t>Base dataset</t>
        </is>
      </c>
      <c r="C9" s="130" t="n"/>
      <c r="E9" s="143">
        <f>IFERROR("Open: "&amp;COUNTIF('🚨 AML Alerts'!J4:J53,"Open")&amp;" | Critical: "&amp;COUNTIF('🚨 AML Alerts'!H4:H53,"Critical"),"")</f>
        <v/>
      </c>
      <c r="F9" s="130" t="n"/>
      <c r="H9" s="144">
        <f>IFERROR("Expired: "&amp;COUNTIF('📋 KYC Register'!G4:G53,"Expired")&amp;" | Pending: "&amp;COUNTIF('📋 KYC Register'!G4:G53,"Pending"),"")</f>
        <v/>
      </c>
      <c r="I9" s="130" t="n"/>
      <c r="K9" s="145">
        <f>IFERROR("Overdue: "&amp;COUNTIF('🔍 EDD Cases'!O4:O53,"Overdue")&amp;" | Escalated: "&amp;COUNTIF('🔍 EDD Cases'!O4:O53,"Escalated"),"")</f>
        <v/>
      </c>
      <c r="L9" s="130" t="n"/>
      <c r="N9" s="146" t="inlineStr">
        <is>
          <t>High: 11 | Critical: 2</t>
        </is>
      </c>
      <c r="O9" s="130" t="n"/>
      <c r="Q9" s="147">
        <f>IFERROR(COUNTIF('📋 KYC Register'!N4:N53,"Yes")&amp;" of "&amp;COUNTIF('📋 KYC Register'!F4:F53,"High")&amp;" High Risk","")</f>
        <v/>
      </c>
      <c r="R9" s="130" t="n"/>
    </row>
    <row r="10" ht="18" customHeight="1" s="126">
      <c r="B10" s="148" t="n"/>
      <c r="C10" s="148" t="n"/>
      <c r="E10" s="149" t="n"/>
      <c r="F10" s="149" t="n"/>
      <c r="H10" s="150" t="n"/>
      <c r="I10" s="150" t="n"/>
      <c r="K10" s="151" t="n"/>
      <c r="L10" s="151" t="n"/>
      <c r="N10" s="152" t="n"/>
      <c r="O10" s="152" t="n"/>
      <c r="Q10" s="153" t="n"/>
      <c r="R10" s="153" t="n"/>
    </row>
    <row r="11" ht="7.5" customHeight="1" s="126"/>
    <row r="12" ht="19.5" customHeight="1" s="126">
      <c r="B12" s="154" t="inlineStr">
        <is>
          <t xml:space="preserve">  📊  RISK DISTRIBUTION BY CUSTOMER SEGMENT</t>
        </is>
      </c>
      <c r="K12" s="154" t="inlineStr">
        <is>
          <t xml:space="preserve">  📅  MONTHLY ALERT TREND (2024)</t>
        </is>
      </c>
    </row>
    <row r="13" ht="18" customHeight="1" s="126">
      <c r="B13" s="155" t="inlineStr">
        <is>
          <t>Risk Category</t>
        </is>
      </c>
      <c r="C13" s="155" t="inlineStr">
        <is>
          <t>Customers</t>
        </is>
      </c>
      <c r="D13" s="155" t="inlineStr">
        <is>
          <t>% Share</t>
        </is>
      </c>
      <c r="E13" s="155" t="inlineStr">
        <is>
          <t>Alerts</t>
        </is>
      </c>
      <c r="F13" s="155" t="inlineStr">
        <is>
          <t>Avg Score</t>
        </is>
      </c>
      <c r="G13" s="155" t="inlineStr">
        <is>
          <t>Status</t>
        </is>
      </c>
      <c r="K13" s="155" t="inlineStr">
        <is>
          <t>Month</t>
        </is>
      </c>
      <c r="L13" s="155" t="inlineStr">
        <is>
          <t>Alerts</t>
        </is>
      </c>
      <c r="M13" s="155" t="inlineStr">
        <is>
          <t>SARs</t>
        </is>
      </c>
      <c r="N13" s="155" t="inlineStr">
        <is>
          <t>EDD</t>
        </is>
      </c>
      <c r="O13" s="155" t="inlineStr">
        <is>
          <t>Closed</t>
        </is>
      </c>
      <c r="P13" s="155" t="inlineStr">
        <is>
          <t>Open</t>
        </is>
      </c>
    </row>
    <row r="14" ht="15.75" customHeight="1" s="126">
      <c r="B14" s="156" t="inlineStr">
        <is>
          <t>Low Risk</t>
        </is>
      </c>
      <c r="C14" s="157">
        <f>IFERROR(COUNTIF('📋 KYC Register'!F4:F53,"Low"),0)</f>
        <v/>
      </c>
      <c r="D14" s="158">
        <f>IFERROR(C14/COUNTA('📋 KYC Register'!A4:A53),0)</f>
        <v/>
      </c>
      <c r="E14" s="157">
        <f>IFERROR(COUNTIF('🚨 AML Alerts'!H4:H53,"Low"),0)</f>
        <v/>
      </c>
      <c r="F14" s="159">
        <f>IFERROR(AVERAGEIFS('🚨 AML Alerts'!G4:G53,'🚨 AML Alerts'!H4:H53,"Low"),0)</f>
        <v/>
      </c>
      <c r="G14" s="157" t="inlineStr">
        <is>
          <t>✅ Normal</t>
        </is>
      </c>
      <c r="K14" s="160" t="inlineStr">
        <is>
          <t>Jan</t>
        </is>
      </c>
      <c r="L14" s="160">
        <f>IFERROR(SUMPRODUCT((TEXT('🚨 AML Alerts'!C4:C53,"MM/YYYY")="01/2024")*('🚨 AML Alerts'!A4:A53&lt;&gt;"")),0)</f>
        <v/>
      </c>
      <c r="M14" s="160">
        <f>IFERROR(SUMPRODUCT((TEXT('📝 SAR Log'!D4:D53,"MM/YYYY")="01/2024")*('📝 SAR Log'!A4:A53&lt;&gt;"")),0)</f>
        <v/>
      </c>
      <c r="N14" s="160">
        <f>IFERROR(SUMPRODUCT((TEXT('🔍 EDD Cases'!E4:E53,"MM/YYYY")="01/2024")*('🔍 EDD Cases'!A4:A53&lt;&gt;"")),0)</f>
        <v/>
      </c>
      <c r="O14" s="160">
        <f>IFERROR(SUMPRODUCT((TEXT('🚨 AML Alerts'!C4:C53,"MM/YYYY")="01/2024")*(('🚨 AML Alerts'!J4:J53="Closed - SAR")+('🚨 AML Alerts'!J4:J53="Closed - No Action"))),0)</f>
        <v/>
      </c>
      <c r="P14" s="160">
        <f>IFERROR(SUMPRODUCT((TEXT('🚨 AML Alerts'!C4:C53,"MM/YYYY")="01/2024")*('🚨 AML Alerts'!J4:J53="Open")),0)</f>
        <v/>
      </c>
    </row>
    <row r="15" ht="15.75" customHeight="1" s="126">
      <c r="B15" s="161" t="inlineStr">
        <is>
          <t>Medium Risk</t>
        </is>
      </c>
      <c r="C15" s="162">
        <f>IFERROR(COUNTIF('📋 KYC Register'!F4:F53,"Medium"),0)</f>
        <v/>
      </c>
      <c r="D15" s="163">
        <f>IFERROR(C15/COUNTA('📋 KYC Register'!A4:A53),0)</f>
        <v/>
      </c>
      <c r="E15" s="162">
        <f>IFERROR(COUNTIF('🚨 AML Alerts'!H4:H53,"Medium"),0)</f>
        <v/>
      </c>
      <c r="F15" s="164">
        <f>IFERROR(AVERAGEIFS('🚨 AML Alerts'!G4:G53,'🚨 AML Alerts'!H4:H53,"Medium"),0)</f>
        <v/>
      </c>
      <c r="G15" s="162" t="inlineStr">
        <is>
          <t>⚠️ Watch</t>
        </is>
      </c>
      <c r="K15" s="165" t="inlineStr">
        <is>
          <t>Feb</t>
        </is>
      </c>
      <c r="L15" s="165">
        <f>IFERROR(SUMPRODUCT((TEXT('🚨 AML Alerts'!C4:C53,"MM/YYYY")="02/2024")*('🚨 AML Alerts'!A4:A53&lt;&gt;"")),0)</f>
        <v/>
      </c>
      <c r="M15" s="165">
        <f>IFERROR(SUMPRODUCT((TEXT('📝 SAR Log'!D4:D53,"MM/YYYY")="02/2024")*('📝 SAR Log'!A4:A53&lt;&gt;"")),0)</f>
        <v/>
      </c>
      <c r="N15" s="165">
        <f>IFERROR(SUMPRODUCT((TEXT('🔍 EDD Cases'!E4:E53,"MM/YYYY")="02/2024")*('🔍 EDD Cases'!A4:A53&lt;&gt;"")),0)</f>
        <v/>
      </c>
      <c r="O15" s="165">
        <f>IFERROR(SUMPRODUCT((TEXT('🚨 AML Alerts'!C4:C53,"MM/YYYY")="02/2024")*(('🚨 AML Alerts'!J4:J53="Closed - SAR")+('🚨 AML Alerts'!J4:J53="Closed - No Action"))),0)</f>
        <v/>
      </c>
      <c r="P15" s="165">
        <f>IFERROR(SUMPRODUCT((TEXT('🚨 AML Alerts'!C4:C53,"MM/YYYY")="02/2024")*('🚨 AML Alerts'!J4:J53="Open")),0)</f>
        <v/>
      </c>
    </row>
    <row r="16" ht="15.75" customHeight="1" s="126">
      <c r="B16" s="166" t="inlineStr">
        <is>
          <t>High Risk</t>
        </is>
      </c>
      <c r="C16" s="167">
        <f>IFERROR(COUNTIF('📋 KYC Register'!F4:F53,"High"),0)</f>
        <v/>
      </c>
      <c r="D16" s="168">
        <f>IFERROR(C16/COUNTA('📋 KYC Register'!A4:A53),0)</f>
        <v/>
      </c>
      <c r="E16" s="167">
        <f>IFERROR(COUNTIF('🚨 AML Alerts'!H4:H53,"High"),0)</f>
        <v/>
      </c>
      <c r="F16" s="169">
        <f>IFERROR(AVERAGEIFS('🚨 AML Alerts'!G4:G53,'🚨 AML Alerts'!H4:H53,"High"),0)</f>
        <v/>
      </c>
      <c r="G16" s="167" t="inlineStr">
        <is>
          <t>🚨 Alert</t>
        </is>
      </c>
      <c r="K16" s="160" t="inlineStr">
        <is>
          <t>Mar</t>
        </is>
      </c>
      <c r="L16" s="160">
        <f>IFERROR(SUMPRODUCT((TEXT('🚨 AML Alerts'!C4:C53,"MM/YYYY")="03/2024")*('🚨 AML Alerts'!A4:A53&lt;&gt;"")),0)</f>
        <v/>
      </c>
      <c r="M16" s="160">
        <f>IFERROR(SUMPRODUCT((TEXT('📝 SAR Log'!D4:D53,"MM/YYYY")="03/2024")*('📝 SAR Log'!A4:A53&lt;&gt;"")),0)</f>
        <v/>
      </c>
      <c r="N16" s="160">
        <f>IFERROR(SUMPRODUCT((TEXT('🔍 EDD Cases'!E4:E53,"MM/YYYY")="03/2024")*('🔍 EDD Cases'!A4:A53&lt;&gt;"")),0)</f>
        <v/>
      </c>
      <c r="O16" s="160">
        <f>IFERROR(SUMPRODUCT((TEXT('🚨 AML Alerts'!C4:C53,"MM/YYYY")="03/2024")*(('🚨 AML Alerts'!J4:J53="Closed - SAR")+('🚨 AML Alerts'!J4:J53="Closed - No Action"))),0)</f>
        <v/>
      </c>
      <c r="P16" s="160">
        <f>IFERROR(SUMPRODUCT((TEXT('🚨 AML Alerts'!C4:C53,"MM/YYYY")="03/2024")*('🚨 AML Alerts'!J4:J53="Open")),0)</f>
        <v/>
      </c>
    </row>
    <row r="17" ht="15.75" customHeight="1" s="126">
      <c r="B17" s="170" t="inlineStr">
        <is>
          <t>PEP</t>
        </is>
      </c>
      <c r="C17" s="171">
        <f>IFERROR(COUNTIF('📋 KYC Register'!N4:N53,"Yes"),0)</f>
        <v/>
      </c>
      <c r="D17" s="172">
        <f>IFERROR(C17/COUNTA('📋 KYC Register'!A4:A53),0)</f>
        <v/>
      </c>
      <c r="E17" s="171">
        <f>IFERROR(COUNTIF('🚨 AML Alerts'!H4:H53,"Critical"),0)</f>
        <v/>
      </c>
      <c r="F17" s="173">
        <f>IFERROR(AVERAGEIFS('🚨 AML Alerts'!G4:G53,'🚨 AML Alerts'!H4:H53,"Critical"),0)</f>
        <v/>
      </c>
      <c r="G17" s="171" t="inlineStr">
        <is>
          <t>👁 Monitor</t>
        </is>
      </c>
      <c r="K17" s="165" t="inlineStr">
        <is>
          <t>Apr</t>
        </is>
      </c>
      <c r="L17" s="165">
        <f>IFERROR(SUMPRODUCT((TEXT('🚨 AML Alerts'!C4:C53,"MM/YYYY")="04/2024")*('🚨 AML Alerts'!A4:A53&lt;&gt;"")),0)</f>
        <v/>
      </c>
      <c r="M17" s="165">
        <f>IFERROR(SUMPRODUCT((TEXT('📝 SAR Log'!D4:D53,"MM/YYYY")="04/2024")*('📝 SAR Log'!A4:A53&lt;&gt;"")),0)</f>
        <v/>
      </c>
      <c r="N17" s="165">
        <f>IFERROR(SUMPRODUCT((TEXT('🔍 EDD Cases'!E4:E53,"MM/YYYY")="04/2024")*('🔍 EDD Cases'!A4:A53&lt;&gt;"")),0)</f>
        <v/>
      </c>
      <c r="O17" s="165">
        <f>IFERROR(SUMPRODUCT((TEXT('🚨 AML Alerts'!C4:C53,"MM/YYYY")="04/2024")*(('🚨 AML Alerts'!J4:J53="Closed - SAR")+('🚨 AML Alerts'!J4:J53="Closed - No Action"))),0)</f>
        <v/>
      </c>
      <c r="P17" s="165">
        <f>IFERROR(SUMPRODUCT((TEXT('🚨 AML Alerts'!C4:C53,"MM/YYYY")="04/2024")*('🚨 AML Alerts'!J4:J53="Open")),0)</f>
        <v/>
      </c>
    </row>
    <row r="18" ht="15.75" customHeight="1" s="126">
      <c r="B18" s="174" t="inlineStr">
        <is>
          <t>Sanctioned</t>
        </is>
      </c>
      <c r="C18" s="175">
        <f>IFERROR(COUNTIF('📋 KYC Register'!O4:O53,"Fail"),0)</f>
        <v/>
      </c>
      <c r="D18" s="176">
        <f>IFERROR(C18/COUNTA('📋 KYC Register'!A4:A53),0)</f>
        <v/>
      </c>
      <c r="E18" s="175">
        <f>IFERROR(COUNTIF('📝 SAR Log'!N4:N53,"Critical"),0)</f>
        <v/>
      </c>
      <c r="F18" s="177">
        <f>IFERROR(AVERAGEIF('🚨 AML Alerts'!H4:H53,"Critical",'🚨 AML Alerts'!G4:G53),0)</f>
        <v/>
      </c>
      <c r="G18" s="175" t="inlineStr">
        <is>
          <t>🔴 Block</t>
        </is>
      </c>
      <c r="K18" s="160" t="inlineStr">
        <is>
          <t>May</t>
        </is>
      </c>
      <c r="L18" s="160">
        <f>IFERROR(SUMPRODUCT((TEXT('🚨 AML Alerts'!C4:C53,"MM/YYYY")="05/2024")*('🚨 AML Alerts'!A4:A53&lt;&gt;"")),0)</f>
        <v/>
      </c>
      <c r="M18" s="160">
        <f>IFERROR(SUMPRODUCT((TEXT('📝 SAR Log'!D4:D53,"MM/YYYY")="05/2024")*('📝 SAR Log'!A4:A53&lt;&gt;"")),0)</f>
        <v/>
      </c>
      <c r="N18" s="160">
        <f>IFERROR(SUMPRODUCT((TEXT('🔍 EDD Cases'!E4:E53,"MM/YYYY")="05/2024")*('🔍 EDD Cases'!A4:A53&lt;&gt;"")),0)</f>
        <v/>
      </c>
      <c r="O18" s="160">
        <f>IFERROR(SUMPRODUCT((TEXT('🚨 AML Alerts'!C4:C53,"MM/YYYY")="05/2024")*(('🚨 AML Alerts'!J4:J53="Closed - SAR")+('🚨 AML Alerts'!J4:J53="Closed - No Action"))),0)</f>
        <v/>
      </c>
      <c r="P18" s="160">
        <f>IFERROR(SUMPRODUCT((TEXT('🚨 AML Alerts'!C4:C53,"MM/YYYY")="05/2024")*('🚨 AML Alerts'!J4:J53="Open")),0)</f>
        <v/>
      </c>
    </row>
    <row r="19" ht="15.75" customHeight="1" s="126">
      <c r="B19" s="178" t="inlineStr">
        <is>
          <t>Under Review</t>
        </is>
      </c>
      <c r="C19" s="179">
        <f>IFERROR(COUNTIF('📋 KYC Register'!G4:G53,"Under Review"),0)</f>
        <v/>
      </c>
      <c r="D19" s="180">
        <f>IFERROR(C19/COUNTA('📋 KYC Register'!A4:A53),0)</f>
        <v/>
      </c>
      <c r="E19" s="179">
        <f>IFERROR(COUNTIF('🚨 AML Alerts'!J4:J53,"Under Review"),0)</f>
        <v/>
      </c>
      <c r="F19" s="181">
        <f>IFERROR(AVERAGEIF('🚨 AML Alerts'!J4:J53,"Under Review",'🚨 AML Alerts'!G4:G53),0)</f>
        <v/>
      </c>
      <c r="G19" s="179" t="inlineStr">
        <is>
          <t>🔄 Review</t>
        </is>
      </c>
      <c r="K19" s="165" t="inlineStr">
        <is>
          <t>Jun</t>
        </is>
      </c>
      <c r="L19" s="165">
        <f>IFERROR(SUMPRODUCT((TEXT('🚨 AML Alerts'!C4:C53,"MM/YYYY")="06/2024")*('🚨 AML Alerts'!A4:A53&lt;&gt;"")),0)</f>
        <v/>
      </c>
      <c r="M19" s="165">
        <f>IFERROR(SUMPRODUCT((TEXT('📝 SAR Log'!D4:D53,"MM/YYYY")="06/2024")*('📝 SAR Log'!A4:A53&lt;&gt;"")),0)</f>
        <v/>
      </c>
      <c r="N19" s="165">
        <f>IFERROR(SUMPRODUCT((TEXT('🔍 EDD Cases'!E4:E53,"MM/YYYY")="06/2024")*('🔍 EDD Cases'!A4:A53&lt;&gt;"")),0)</f>
        <v/>
      </c>
      <c r="O19" s="165">
        <f>IFERROR(SUMPRODUCT((TEXT('🚨 AML Alerts'!C4:C53,"MM/YYYY")="06/2024")*(('🚨 AML Alerts'!J4:J53="Closed - SAR")+('🚨 AML Alerts'!J4:J53="Closed - No Action"))),0)</f>
        <v/>
      </c>
      <c r="P19" s="165">
        <f>IFERROR(SUMPRODUCT((TEXT('🚨 AML Alerts'!C4:C53,"MM/YYYY")="06/2024")*('🚨 AML Alerts'!J4:J53="Open")),0)</f>
        <v/>
      </c>
    </row>
    <row r="20" ht="15.75" customHeight="1" s="126">
      <c r="K20" s="160" t="inlineStr">
        <is>
          <t>Jul</t>
        </is>
      </c>
      <c r="L20" s="160">
        <f>IFERROR(SUMPRODUCT((TEXT('🚨 AML Alerts'!C4:C53,"MM/YYYY")="07/2024")*('🚨 AML Alerts'!A4:A53&lt;&gt;"")),0)</f>
        <v/>
      </c>
      <c r="M20" s="160">
        <f>IFERROR(SUMPRODUCT((TEXT('📝 SAR Log'!D4:D53,"MM/YYYY")="07/2024")*('📝 SAR Log'!A4:A53&lt;&gt;"")),0)</f>
        <v/>
      </c>
      <c r="N20" s="160">
        <f>IFERROR(SUMPRODUCT((TEXT('🔍 EDD Cases'!E4:E53,"MM/YYYY")="07/2024")*('🔍 EDD Cases'!A4:A53&lt;&gt;"")),0)</f>
        <v/>
      </c>
      <c r="O20" s="160">
        <f>IFERROR(SUMPRODUCT((TEXT('🚨 AML Alerts'!C4:C53,"MM/YYYY")="07/2024")*(('🚨 AML Alerts'!J4:J53="Closed - SAR")+('🚨 AML Alerts'!J4:J53="Closed - No Action"))),0)</f>
        <v/>
      </c>
      <c r="P20" s="160">
        <f>IFERROR(SUMPRODUCT((TEXT('🚨 AML Alerts'!C4:C53,"MM/YYYY")="07/2024")*('🚨 AML Alerts'!J4:J53="Open")),0)</f>
        <v/>
      </c>
    </row>
    <row r="21" ht="15.75" customHeight="1" s="126">
      <c r="K21" s="165" t="inlineStr">
        <is>
          <t>Aug</t>
        </is>
      </c>
      <c r="L21" s="165">
        <f>IFERROR(SUMPRODUCT((TEXT('🚨 AML Alerts'!C4:C53,"MM/YYYY")="08/2024")*('🚨 AML Alerts'!A4:A53&lt;&gt;"")),0)</f>
        <v/>
      </c>
      <c r="M21" s="165">
        <f>IFERROR(SUMPRODUCT((TEXT('📝 SAR Log'!D4:D53,"MM/YYYY")="08/2024")*('📝 SAR Log'!A4:A53&lt;&gt;"")),0)</f>
        <v/>
      </c>
      <c r="N21" s="165">
        <f>IFERROR(SUMPRODUCT((TEXT('🔍 EDD Cases'!E4:E53,"MM/YYYY")="08/2024")*('🔍 EDD Cases'!A4:A53&lt;&gt;"")),0)</f>
        <v/>
      </c>
      <c r="O21" s="165">
        <f>IFERROR(SUMPRODUCT((TEXT('🚨 AML Alerts'!C4:C53,"MM/YYYY")="08/2024")*(('🚨 AML Alerts'!J4:J53="Closed - SAR")+('🚨 AML Alerts'!J4:J53="Closed - No Action"))),0)</f>
        <v/>
      </c>
      <c r="P21" s="165">
        <f>IFERROR(SUMPRODUCT((TEXT('🚨 AML Alerts'!C4:C53,"MM/YYYY")="08/2024")*('🚨 AML Alerts'!J4:J53="Open")),0)</f>
        <v/>
      </c>
    </row>
    <row r="22" ht="15.75" customHeight="1" s="126">
      <c r="K22" s="160" t="inlineStr">
        <is>
          <t>Sep</t>
        </is>
      </c>
      <c r="L22" s="160">
        <f>IFERROR(SUMPRODUCT((TEXT('🚨 AML Alerts'!C4:C53,"MM/YYYY")="09/2024")*('🚨 AML Alerts'!A4:A53&lt;&gt;"")),0)</f>
        <v/>
      </c>
      <c r="M22" s="160">
        <f>IFERROR(SUMPRODUCT((TEXT('📝 SAR Log'!D4:D53,"MM/YYYY")="09/2024")*('📝 SAR Log'!A4:A53&lt;&gt;"")),0)</f>
        <v/>
      </c>
      <c r="N22" s="160">
        <f>IFERROR(SUMPRODUCT((TEXT('🔍 EDD Cases'!E4:E53,"MM/YYYY")="09/2024")*('🔍 EDD Cases'!A4:A53&lt;&gt;"")),0)</f>
        <v/>
      </c>
      <c r="O22" s="160">
        <f>IFERROR(SUMPRODUCT((TEXT('🚨 AML Alerts'!C4:C53,"MM/YYYY")="09/2024")*(('🚨 AML Alerts'!J4:J53="Closed - SAR")+('🚨 AML Alerts'!J4:J53="Closed - No Action"))),0)</f>
        <v/>
      </c>
      <c r="P22" s="160">
        <f>IFERROR(SUMPRODUCT((TEXT('🚨 AML Alerts'!C4:C53,"MM/YYYY")="09/2024")*('🚨 AML Alerts'!J4:J53="Open")),0)</f>
        <v/>
      </c>
    </row>
    <row r="23" ht="15.75" customHeight="1" s="126">
      <c r="K23" s="165" t="inlineStr">
        <is>
          <t>Oct</t>
        </is>
      </c>
      <c r="L23" s="165">
        <f>IFERROR(SUMPRODUCT((TEXT('🚨 AML Alerts'!C4:C53,"MM/YYYY")="10/2024")*('🚨 AML Alerts'!A4:A53&lt;&gt;"")),0)</f>
        <v/>
      </c>
      <c r="M23" s="165">
        <f>IFERROR(SUMPRODUCT((TEXT('📝 SAR Log'!D4:D53,"MM/YYYY")="10/2024")*('📝 SAR Log'!A4:A53&lt;&gt;"")),0)</f>
        <v/>
      </c>
      <c r="N23" s="165">
        <f>IFERROR(SUMPRODUCT((TEXT('🔍 EDD Cases'!E4:E53,"MM/YYYY")="10/2024")*('🔍 EDD Cases'!A4:A53&lt;&gt;"")),0)</f>
        <v/>
      </c>
      <c r="O23" s="165">
        <f>IFERROR(SUMPRODUCT((TEXT('🚨 AML Alerts'!C4:C53,"MM/YYYY")="10/2024")*(('🚨 AML Alerts'!J4:J53="Closed - SAR")+('🚨 AML Alerts'!J4:J53="Closed - No Action"))),0)</f>
        <v/>
      </c>
      <c r="P23" s="165">
        <f>IFERROR(SUMPRODUCT((TEXT('🚨 AML Alerts'!C4:C53,"MM/YYYY")="10/2024")*('🚨 AML Alerts'!J4:J53="Open")),0)</f>
        <v/>
      </c>
    </row>
    <row r="24" ht="15.75" customHeight="1" s="126">
      <c r="K24" s="160" t="inlineStr">
        <is>
          <t>Nov</t>
        </is>
      </c>
      <c r="L24" s="160">
        <f>IFERROR(SUMPRODUCT((TEXT('🚨 AML Alerts'!C4:C53,"MM/YYYY")="11/2024")*('🚨 AML Alerts'!A4:A53&lt;&gt;"")),0)</f>
        <v/>
      </c>
      <c r="M24" s="160">
        <f>IFERROR(SUMPRODUCT((TEXT('📝 SAR Log'!D4:D53,"MM/YYYY")="11/2024")*('📝 SAR Log'!A4:A53&lt;&gt;"")),0)</f>
        <v/>
      </c>
      <c r="N24" s="160">
        <f>IFERROR(SUMPRODUCT((TEXT('🔍 EDD Cases'!E4:E53,"MM/YYYY")="11/2024")*('🔍 EDD Cases'!A4:A53&lt;&gt;"")),0)</f>
        <v/>
      </c>
      <c r="O24" s="160">
        <f>IFERROR(SUMPRODUCT((TEXT('🚨 AML Alerts'!C4:C53,"MM/YYYY")="11/2024")*(('🚨 AML Alerts'!J4:J53="Closed - SAR")+('🚨 AML Alerts'!J4:J53="Closed - No Action"))),0)</f>
        <v/>
      </c>
      <c r="P24" s="160">
        <f>IFERROR(SUMPRODUCT((TEXT('🚨 AML Alerts'!C4:C53,"MM/YYYY")="11/2024")*('🚨 AML Alerts'!J4:J53="Open")),0)</f>
        <v/>
      </c>
    </row>
    <row r="25" ht="15.75" customHeight="1" s="126">
      <c r="K25" s="165" t="inlineStr">
        <is>
          <t>Dec</t>
        </is>
      </c>
      <c r="L25" s="165">
        <f>IFERROR(SUMPRODUCT((TEXT('🚨 AML Alerts'!C4:C53,"MM/YYYY")="12/2024")*('🚨 AML Alerts'!A4:A53&lt;&gt;"")),0)</f>
        <v/>
      </c>
      <c r="M25" s="165">
        <f>IFERROR(SUMPRODUCT((TEXT('📝 SAR Log'!D4:D53,"MM/YYYY")="12/2024")*('📝 SAR Log'!A4:A53&lt;&gt;"")),0)</f>
        <v/>
      </c>
      <c r="N25" s="165">
        <f>IFERROR(SUMPRODUCT((TEXT('🔍 EDD Cases'!E4:E53,"MM/YYYY")="12/2024")*('🔍 EDD Cases'!A4:A53&lt;&gt;"")),0)</f>
        <v/>
      </c>
      <c r="O25" s="165">
        <f>IFERROR(SUMPRODUCT((TEXT('🚨 AML Alerts'!C4:C53,"MM/YYYY")="12/2024")*(('🚨 AML Alerts'!J4:J53="Closed - SAR")+('🚨 AML Alerts'!J4:J53="Closed - No Action"))),0)</f>
        <v/>
      </c>
      <c r="P25" s="165">
        <f>IFERROR(SUMPRODUCT((TEXT('🚨 AML Alerts'!C4:C53,"MM/YYYY")="12/2024")*('🚨 AML Alerts'!J4:J53="Open")),0)</f>
        <v/>
      </c>
    </row>
  </sheetData>
  <mergeCells count="22">
    <mergeCell ref="Q7:R7"/>
    <mergeCell ref="B7:C7"/>
    <mergeCell ref="A5:S5"/>
    <mergeCell ref="N7:O7"/>
    <mergeCell ref="K9:L9"/>
    <mergeCell ref="E8:F8"/>
    <mergeCell ref="H9:I9"/>
    <mergeCell ref="Q8:R8"/>
    <mergeCell ref="K12:S12"/>
    <mergeCell ref="A1:S4"/>
    <mergeCell ref="B8:C8"/>
    <mergeCell ref="E9:F9"/>
    <mergeCell ref="N8:O8"/>
    <mergeCell ref="K8:L8"/>
    <mergeCell ref="H7:I7"/>
    <mergeCell ref="Q9:R9"/>
    <mergeCell ref="B9:C9"/>
    <mergeCell ref="N9:O9"/>
    <mergeCell ref="K7:L7"/>
    <mergeCell ref="E7:F7"/>
    <mergeCell ref="H8:I8"/>
    <mergeCell ref="B12:J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25" min="1" max="1"/>
    <col width="20" customWidth="1" style="125" min="2" max="2"/>
    <col width="12" customWidth="1" style="125" min="3" max="3"/>
    <col width="14" customWidth="1" style="125" min="4" max="5"/>
    <col width="12" customWidth="1" style="125" min="6" max="6"/>
    <col width="13" customWidth="1" style="125" min="7" max="7"/>
    <col width="12" customWidth="1" style="125" min="8" max="8"/>
    <col width="16" customWidth="1" style="125" min="9" max="9"/>
    <col width="12" customWidth="1" style="125" min="10" max="13"/>
    <col width="10" customWidth="1" style="125" min="14" max="14"/>
    <col width="15" customWidth="1" style="125" min="15" max="15"/>
    <col width="18" customWidth="1" style="125" min="16" max="16"/>
  </cols>
  <sheetData>
    <row r="1" ht="39.75" customHeight="1" s="126">
      <c r="A1" s="182" t="inlineStr">
        <is>
          <t>KYC CUSTOMER REGISTER  |  50 Customer Records</t>
        </is>
      </c>
    </row>
    <row r="2" ht="18" customHeight="1" s="126">
      <c r="A2" s="183" t="inlineStr">
        <is>
          <t>Know Your Customer — Identification, Verification &amp; Risk Classification</t>
        </is>
      </c>
    </row>
    <row r="3" ht="19.5" customHeight="1" s="126">
      <c r="A3" s="184" t="inlineStr">
        <is>
          <t>Cust ID</t>
        </is>
      </c>
      <c r="B3" s="184" t="inlineStr">
        <is>
          <t>Full Name</t>
        </is>
      </c>
      <c r="C3" s="184" t="inlineStr">
        <is>
          <t>DOB</t>
        </is>
      </c>
      <c r="D3" s="184" t="inlineStr">
        <is>
          <t>Nationality</t>
        </is>
      </c>
      <c r="E3" s="184" t="inlineStr">
        <is>
          <t>Account Type</t>
        </is>
      </c>
      <c r="F3" s="184" t="inlineStr">
        <is>
          <t>Risk Level</t>
        </is>
      </c>
      <c r="G3" s="184" t="inlineStr">
        <is>
          <t>KYC Status</t>
        </is>
      </c>
      <c r="H3" s="184" t="inlineStr">
        <is>
          <t>ID Type</t>
        </is>
      </c>
      <c r="I3" s="184" t="inlineStr">
        <is>
          <t>ID Number</t>
        </is>
      </c>
      <c r="J3" s="184" t="inlineStr">
        <is>
          <t>Expiry Date</t>
        </is>
      </c>
      <c r="K3" s="184" t="inlineStr">
        <is>
          <t>Onboard Date</t>
        </is>
      </c>
      <c r="L3" s="184" t="inlineStr">
        <is>
          <t>Last Review</t>
        </is>
      </c>
      <c r="M3" s="184" t="inlineStr">
        <is>
          <t>Next Review</t>
        </is>
      </c>
      <c r="N3" s="184" t="inlineStr">
        <is>
          <t>PEP Flag</t>
        </is>
      </c>
      <c r="O3" s="184" t="inlineStr">
        <is>
          <t>Sanctions Check</t>
        </is>
      </c>
      <c r="P3" s="184" t="inlineStr">
        <is>
          <t>Remarks</t>
        </is>
      </c>
    </row>
    <row r="4" ht="15.75" customHeight="1" s="126">
      <c r="A4" s="185" t="inlineStr">
        <is>
          <t>CUST10001</t>
        </is>
      </c>
      <c r="B4" s="186" t="inlineStr">
        <is>
          <t>Ahmed Al-Rashid</t>
        </is>
      </c>
      <c r="C4" s="185" t="inlineStr">
        <is>
          <t>01/01/1960</t>
        </is>
      </c>
      <c r="D4" s="185" t="inlineStr">
        <is>
          <t>UAE</t>
        </is>
      </c>
      <c r="E4" s="185" t="inlineStr">
        <is>
          <t>Individual</t>
        </is>
      </c>
      <c r="F4" s="187" t="inlineStr">
        <is>
          <t>Low</t>
        </is>
      </c>
      <c r="G4" s="188" t="inlineStr">
        <is>
          <t>Verified</t>
        </is>
      </c>
      <c r="H4" s="185" t="inlineStr">
        <is>
          <t>Passport</t>
        </is>
      </c>
      <c r="I4" s="185" t="inlineStr">
        <is>
          <t>XX200000</t>
        </is>
      </c>
      <c r="J4" s="185" t="inlineStr">
        <is>
          <t>28/01/2025</t>
        </is>
      </c>
      <c r="K4" s="185" t="inlineStr">
        <is>
          <t>01/01/2018</t>
        </is>
      </c>
      <c r="L4" s="185" t="inlineStr">
        <is>
          <t>01/01/2019</t>
        </is>
      </c>
      <c r="M4" s="185" t="inlineStr">
        <is>
          <t>01/01/2020</t>
        </is>
      </c>
      <c r="N4" s="185" t="inlineStr">
        <is>
          <t>No</t>
        </is>
      </c>
      <c r="O4" s="185" t="inlineStr">
        <is>
          <t>Pass</t>
        </is>
      </c>
      <c r="P4" s="185" t="inlineStr">
        <is>
          <t>Active</t>
        </is>
      </c>
    </row>
    <row r="5" ht="15.75" customHeight="1" s="126">
      <c r="A5" s="189" t="inlineStr">
        <is>
          <t>CUST10002</t>
        </is>
      </c>
      <c r="B5" s="190" t="inlineStr">
        <is>
          <t>Priya Sharma</t>
        </is>
      </c>
      <c r="C5" s="189" t="inlineStr">
        <is>
          <t>02/02/1961</t>
        </is>
      </c>
      <c r="D5" s="189" t="inlineStr">
        <is>
          <t>India</t>
        </is>
      </c>
      <c r="E5" s="189" t="inlineStr">
        <is>
          <t>Corporate</t>
        </is>
      </c>
      <c r="F5" s="187" t="inlineStr">
        <is>
          <t>Low</t>
        </is>
      </c>
      <c r="G5" s="191" t="inlineStr">
        <is>
          <t>Expired</t>
        </is>
      </c>
      <c r="H5" s="189" t="inlineStr">
        <is>
          <t>NID</t>
        </is>
      </c>
      <c r="I5" s="189" t="inlineStr">
        <is>
          <t>XX200007</t>
        </is>
      </c>
      <c r="J5" s="189" t="inlineStr">
        <is>
          <t>28/02/2026</t>
        </is>
      </c>
      <c r="K5" s="189" t="inlineStr">
        <is>
          <t>02/02/2019</t>
        </is>
      </c>
      <c r="L5" s="189" t="inlineStr">
        <is>
          <t>02/02/2020</t>
        </is>
      </c>
      <c r="M5" s="189" t="inlineStr">
        <is>
          <t>01/02/2021</t>
        </is>
      </c>
      <c r="N5" s="189" t="inlineStr">
        <is>
          <t>No</t>
        </is>
      </c>
      <c r="O5" s="189" t="inlineStr">
        <is>
          <t>Pass</t>
        </is>
      </c>
      <c r="P5" s="189" t="inlineStr">
        <is>
          <t>Active</t>
        </is>
      </c>
    </row>
    <row r="6" ht="15.75" customHeight="1" s="126">
      <c r="A6" s="185" t="inlineStr">
        <is>
          <t>CUST10003</t>
        </is>
      </c>
      <c r="B6" s="186" t="inlineStr">
        <is>
          <t>John O'Brien</t>
        </is>
      </c>
      <c r="C6" s="185" t="inlineStr">
        <is>
          <t>03/03/1962</t>
        </is>
      </c>
      <c r="D6" s="185" t="inlineStr">
        <is>
          <t>Ireland</t>
        </is>
      </c>
      <c r="E6" s="185" t="inlineStr">
        <is>
          <t>SME</t>
        </is>
      </c>
      <c r="F6" s="192" t="inlineStr">
        <is>
          <t>Medium</t>
        </is>
      </c>
      <c r="G6" s="193" t="inlineStr">
        <is>
          <t>Under Review</t>
        </is>
      </c>
      <c r="H6" s="185" t="inlineStr">
        <is>
          <t>NRIC</t>
        </is>
      </c>
      <c r="I6" s="185" t="inlineStr">
        <is>
          <t>XX200014</t>
        </is>
      </c>
      <c r="J6" s="185" t="inlineStr">
        <is>
          <t>28/03/2027</t>
        </is>
      </c>
      <c r="K6" s="185" t="inlineStr">
        <is>
          <t>03/03/2020</t>
        </is>
      </c>
      <c r="L6" s="185" t="inlineStr">
        <is>
          <t>03/03/2021</t>
        </is>
      </c>
      <c r="M6" s="185" t="inlineStr">
        <is>
          <t>03/03/2022</t>
        </is>
      </c>
      <c r="N6" s="185" t="inlineStr">
        <is>
          <t>No</t>
        </is>
      </c>
      <c r="O6" s="185" t="inlineStr">
        <is>
          <t>Pass</t>
        </is>
      </c>
      <c r="P6" s="185" t="inlineStr">
        <is>
          <t>Active</t>
        </is>
      </c>
    </row>
    <row r="7" ht="15.75" customHeight="1" s="126">
      <c r="A7" s="189" t="inlineStr">
        <is>
          <t>CUST10004</t>
        </is>
      </c>
      <c r="B7" s="190" t="inlineStr">
        <is>
          <t>Liu Wei</t>
        </is>
      </c>
      <c r="C7" s="189" t="inlineStr">
        <is>
          <t>04/04/1963</t>
        </is>
      </c>
      <c r="D7" s="189" t="inlineStr">
        <is>
          <t>China</t>
        </is>
      </c>
      <c r="E7" s="189" t="inlineStr">
        <is>
          <t>Joint</t>
        </is>
      </c>
      <c r="F7" s="187" t="inlineStr">
        <is>
          <t>Low</t>
        </is>
      </c>
      <c r="G7" s="188" t="inlineStr">
        <is>
          <t>Verified</t>
        </is>
      </c>
      <c r="H7" s="189" t="inlineStr">
        <is>
          <t>CPF</t>
        </is>
      </c>
      <c r="I7" s="189" t="inlineStr">
        <is>
          <t>XX200021</t>
        </is>
      </c>
      <c r="J7" s="189" t="inlineStr">
        <is>
          <t>28/04/2028</t>
        </is>
      </c>
      <c r="K7" s="189" t="inlineStr">
        <is>
          <t>04/04/2021</t>
        </is>
      </c>
      <c r="L7" s="189" t="inlineStr">
        <is>
          <t>04/04/2022</t>
        </is>
      </c>
      <c r="M7" s="189" t="inlineStr">
        <is>
          <t>04/04/2023</t>
        </is>
      </c>
      <c r="N7" s="189" t="inlineStr">
        <is>
          <t>No</t>
        </is>
      </c>
      <c r="O7" s="189" t="inlineStr">
        <is>
          <t>Pass</t>
        </is>
      </c>
      <c r="P7" s="189" t="inlineStr">
        <is>
          <t>Docs Pending</t>
        </is>
      </c>
    </row>
    <row r="8" ht="15.75" customHeight="1" s="126">
      <c r="A8" s="185" t="inlineStr">
        <is>
          <t>CUST10005</t>
        </is>
      </c>
      <c r="B8" s="186" t="inlineStr">
        <is>
          <t>Fatima Al-Zahra</t>
        </is>
      </c>
      <c r="C8" s="185" t="inlineStr">
        <is>
          <t>05/05/1964</t>
        </is>
      </c>
      <c r="D8" s="185" t="inlineStr">
        <is>
          <t>Saudi Arabia</t>
        </is>
      </c>
      <c r="E8" s="185" t="inlineStr">
        <is>
          <t>Trust</t>
        </is>
      </c>
      <c r="F8" s="194" t="inlineStr">
        <is>
          <t>High</t>
        </is>
      </c>
      <c r="G8" s="188" t="inlineStr">
        <is>
          <t>Verified</t>
        </is>
      </c>
      <c r="H8" s="185" t="inlineStr">
        <is>
          <t>My Number</t>
        </is>
      </c>
      <c r="I8" s="185" t="inlineStr">
        <is>
          <t>XX200028</t>
        </is>
      </c>
      <c r="J8" s="185" t="inlineStr">
        <is>
          <t>28/05/2025</t>
        </is>
      </c>
      <c r="K8" s="185" t="inlineStr">
        <is>
          <t>05/05/2022</t>
        </is>
      </c>
      <c r="L8" s="185" t="inlineStr">
        <is>
          <t>05/05/2023</t>
        </is>
      </c>
      <c r="M8" s="185" t="inlineStr">
        <is>
          <t>04/05/2024</t>
        </is>
      </c>
      <c r="N8" s="195" t="inlineStr">
        <is>
          <t>Yes</t>
        </is>
      </c>
      <c r="O8" s="185" t="inlineStr">
        <is>
          <t>Fail</t>
        </is>
      </c>
      <c r="P8" s="185" t="inlineStr">
        <is>
          <t>Flagged against sanctions list – under review</t>
        </is>
      </c>
    </row>
    <row r="9" ht="15.75" customHeight="1" s="126">
      <c r="A9" s="189" t="inlineStr">
        <is>
          <t>CUST10006</t>
        </is>
      </c>
      <c r="B9" s="190" t="inlineStr">
        <is>
          <t>Carlos Mendez</t>
        </is>
      </c>
      <c r="C9" s="189" t="inlineStr">
        <is>
          <t>06/06/1965</t>
        </is>
      </c>
      <c r="D9" s="189" t="inlineStr">
        <is>
          <t>Mexico</t>
        </is>
      </c>
      <c r="E9" s="189" t="inlineStr">
        <is>
          <t>Individual</t>
        </is>
      </c>
      <c r="F9" s="192" t="inlineStr">
        <is>
          <t>Medium</t>
        </is>
      </c>
      <c r="G9" s="188" t="inlineStr">
        <is>
          <t>Verified</t>
        </is>
      </c>
      <c r="H9" s="189" t="inlineStr">
        <is>
          <t>CI</t>
        </is>
      </c>
      <c r="I9" s="189" t="inlineStr">
        <is>
          <t>XX200035</t>
        </is>
      </c>
      <c r="J9" s="189" t="inlineStr">
        <is>
          <t>28/06/2026</t>
        </is>
      </c>
      <c r="K9" s="189" t="inlineStr">
        <is>
          <t>06/06/2023</t>
        </is>
      </c>
      <c r="L9" s="189" t="inlineStr">
        <is>
          <t>05/06/2024</t>
        </is>
      </c>
      <c r="M9" s="189" t="inlineStr">
        <is>
          <t>05/06/2025</t>
        </is>
      </c>
      <c r="N9" s="189" t="inlineStr">
        <is>
          <t>No</t>
        </is>
      </c>
      <c r="O9" s="189" t="inlineStr">
        <is>
          <t>Pass</t>
        </is>
      </c>
      <c r="P9" s="189" t="inlineStr">
        <is>
          <t>Suspended</t>
        </is>
      </c>
    </row>
    <row r="10" ht="15.75" customHeight="1" s="126">
      <c r="A10" s="185" t="inlineStr">
        <is>
          <t>CUST10007</t>
        </is>
      </c>
      <c r="B10" s="186" t="inlineStr">
        <is>
          <t>Anna Kowalski</t>
        </is>
      </c>
      <c r="C10" s="185" t="inlineStr">
        <is>
          <t>07/07/1966</t>
        </is>
      </c>
      <c r="D10" s="185" t="inlineStr">
        <is>
          <t>Poland</t>
        </is>
      </c>
      <c r="E10" s="185" t="inlineStr">
        <is>
          <t>Corporate</t>
        </is>
      </c>
      <c r="F10" s="187" t="inlineStr">
        <is>
          <t>Low</t>
        </is>
      </c>
      <c r="G10" s="191" t="inlineStr">
        <is>
          <t>Expired</t>
        </is>
      </c>
      <c r="H10" s="185" t="inlineStr">
        <is>
          <t>Driver's Licence</t>
        </is>
      </c>
      <c r="I10" s="185" t="inlineStr">
        <is>
          <t>XX200042</t>
        </is>
      </c>
      <c r="J10" s="185" t="inlineStr">
        <is>
          <t>28/07/2027</t>
        </is>
      </c>
      <c r="K10" s="185" t="inlineStr">
        <is>
          <t>07/07/2018</t>
        </is>
      </c>
      <c r="L10" s="185" t="inlineStr">
        <is>
          <t>07/07/2019</t>
        </is>
      </c>
      <c r="M10" s="185" t="inlineStr">
        <is>
          <t>06/07/2020</t>
        </is>
      </c>
      <c r="N10" s="185" t="inlineStr">
        <is>
          <t>No</t>
        </is>
      </c>
      <c r="O10" s="185" t="inlineStr">
        <is>
          <t>Pass</t>
        </is>
      </c>
      <c r="P10" s="185" t="inlineStr">
        <is>
          <t>Monitoring</t>
        </is>
      </c>
    </row>
    <row r="11" ht="15.75" customHeight="1" s="126">
      <c r="A11" s="189" t="inlineStr">
        <is>
          <t>CUST10008</t>
        </is>
      </c>
      <c r="B11" s="190" t="inlineStr">
        <is>
          <t>Raj Patel</t>
        </is>
      </c>
      <c r="C11" s="189" t="inlineStr">
        <is>
          <t>08/08/1967</t>
        </is>
      </c>
      <c r="D11" s="189" t="inlineStr">
        <is>
          <t>India</t>
        </is>
      </c>
      <c r="E11" s="189" t="inlineStr">
        <is>
          <t>SME</t>
        </is>
      </c>
      <c r="F11" s="187" t="inlineStr">
        <is>
          <t>Low</t>
        </is>
      </c>
      <c r="G11" s="188" t="inlineStr">
        <is>
          <t>Verified</t>
        </is>
      </c>
      <c r="H11" s="189" t="inlineStr">
        <is>
          <t>Aadhaar</t>
        </is>
      </c>
      <c r="I11" s="189" t="inlineStr">
        <is>
          <t>XX200049</t>
        </is>
      </c>
      <c r="J11" s="189" t="inlineStr">
        <is>
          <t>28/08/2028</t>
        </is>
      </c>
      <c r="K11" s="189" t="inlineStr">
        <is>
          <t>08/08/2019</t>
        </is>
      </c>
      <c r="L11" s="189" t="inlineStr">
        <is>
          <t>07/08/2020</t>
        </is>
      </c>
      <c r="M11" s="189" t="inlineStr">
        <is>
          <t>07/08/2021</t>
        </is>
      </c>
      <c r="N11" s="195" t="inlineStr">
        <is>
          <t>Yes</t>
        </is>
      </c>
      <c r="O11" s="189" t="inlineStr">
        <is>
          <t>Pass</t>
        </is>
      </c>
      <c r="P11" s="189" t="inlineStr">
        <is>
          <t>Active</t>
        </is>
      </c>
    </row>
    <row r="12" ht="15.75" customHeight="1" s="126">
      <c r="A12" s="185" t="inlineStr">
        <is>
          <t>CUST10009</t>
        </is>
      </c>
      <c r="B12" s="186" t="inlineStr">
        <is>
          <t>Sophie Dubois</t>
        </is>
      </c>
      <c r="C12" s="185" t="inlineStr">
        <is>
          <t>09/09/1968</t>
        </is>
      </c>
      <c r="D12" s="185" t="inlineStr">
        <is>
          <t>France</t>
        </is>
      </c>
      <c r="E12" s="185" t="inlineStr">
        <is>
          <t>Joint</t>
        </is>
      </c>
      <c r="F12" s="192" t="inlineStr">
        <is>
          <t>Medium</t>
        </is>
      </c>
      <c r="G12" s="193" t="inlineStr">
        <is>
          <t>Under Review</t>
        </is>
      </c>
      <c r="H12" s="185" t="inlineStr">
        <is>
          <t>Passport</t>
        </is>
      </c>
      <c r="I12" s="185" t="inlineStr">
        <is>
          <t>XX200056</t>
        </is>
      </c>
      <c r="J12" s="185" t="inlineStr">
        <is>
          <t>28/09/2025</t>
        </is>
      </c>
      <c r="K12" s="185" t="inlineStr">
        <is>
          <t>09/09/2020</t>
        </is>
      </c>
      <c r="L12" s="185" t="inlineStr">
        <is>
          <t>09/09/2021</t>
        </is>
      </c>
      <c r="M12" s="185" t="inlineStr">
        <is>
          <t>09/09/2022</t>
        </is>
      </c>
      <c r="N12" s="185" t="inlineStr">
        <is>
          <t>No</t>
        </is>
      </c>
      <c r="O12" s="185" t="inlineStr">
        <is>
          <t>Pass</t>
        </is>
      </c>
      <c r="P12" s="185" t="inlineStr">
        <is>
          <t>Active</t>
        </is>
      </c>
    </row>
    <row r="13" ht="15.75" customHeight="1" s="126">
      <c r="A13" s="189" t="inlineStr">
        <is>
          <t>CUST10010</t>
        </is>
      </c>
      <c r="B13" s="190" t="inlineStr">
        <is>
          <t>Omar Hassan</t>
        </is>
      </c>
      <c r="C13" s="189" t="inlineStr">
        <is>
          <t>10/10/1969</t>
        </is>
      </c>
      <c r="D13" s="189" t="inlineStr">
        <is>
          <t>Egypt</t>
        </is>
      </c>
      <c r="E13" s="189" t="inlineStr">
        <is>
          <t>Trust</t>
        </is>
      </c>
      <c r="F13" s="194" t="inlineStr">
        <is>
          <t>High</t>
        </is>
      </c>
      <c r="G13" s="188" t="inlineStr">
        <is>
          <t>Verified</t>
        </is>
      </c>
      <c r="H13" s="189" t="inlineStr">
        <is>
          <t>NID</t>
        </is>
      </c>
      <c r="I13" s="189" t="inlineStr">
        <is>
          <t>XX200063</t>
        </is>
      </c>
      <c r="J13" s="189" t="inlineStr">
        <is>
          <t>28/10/2026</t>
        </is>
      </c>
      <c r="K13" s="189" t="inlineStr">
        <is>
          <t>10/10/2021</t>
        </is>
      </c>
      <c r="L13" s="189" t="inlineStr">
        <is>
          <t>10/10/2022</t>
        </is>
      </c>
      <c r="M13" s="189" t="inlineStr">
        <is>
          <t>10/10/2023</t>
        </is>
      </c>
      <c r="N13" s="189" t="inlineStr">
        <is>
          <t>No</t>
        </is>
      </c>
      <c r="O13" s="189" t="inlineStr">
        <is>
          <t>Fail</t>
        </is>
      </c>
      <c r="P13" s="189" t="inlineStr">
        <is>
          <t>Flagged against sanctions list – under review</t>
        </is>
      </c>
    </row>
    <row r="14" ht="15.75" customHeight="1" s="126">
      <c r="A14" s="185" t="inlineStr">
        <is>
          <t>CUST10011</t>
        </is>
      </c>
      <c r="B14" s="186" t="inlineStr">
        <is>
          <t>Elena Ivanova</t>
        </is>
      </c>
      <c r="C14" s="185" t="inlineStr">
        <is>
          <t>11/11/1970</t>
        </is>
      </c>
      <c r="D14" s="185" t="inlineStr">
        <is>
          <t>Russia</t>
        </is>
      </c>
      <c r="E14" s="185" t="inlineStr">
        <is>
          <t>Individual</t>
        </is>
      </c>
      <c r="F14" s="192" t="inlineStr">
        <is>
          <t>Medium</t>
        </is>
      </c>
      <c r="G14" s="188" t="inlineStr">
        <is>
          <t>Verified</t>
        </is>
      </c>
      <c r="H14" s="185" t="inlineStr">
        <is>
          <t>NRIC</t>
        </is>
      </c>
      <c r="I14" s="185" t="inlineStr">
        <is>
          <t>XX200070</t>
        </is>
      </c>
      <c r="J14" s="185" t="inlineStr">
        <is>
          <t>28/11/2027</t>
        </is>
      </c>
      <c r="K14" s="185" t="inlineStr">
        <is>
          <t>11/11/2022</t>
        </is>
      </c>
      <c r="L14" s="185" t="inlineStr">
        <is>
          <t>11/11/2023</t>
        </is>
      </c>
      <c r="M14" s="185" t="inlineStr">
        <is>
          <t>10/11/2024</t>
        </is>
      </c>
      <c r="N14" s="185" t="inlineStr">
        <is>
          <t>No</t>
        </is>
      </c>
      <c r="O14" s="185" t="inlineStr">
        <is>
          <t>Pass</t>
        </is>
      </c>
      <c r="P14" s="185" t="inlineStr">
        <is>
          <t>Docs Pending</t>
        </is>
      </c>
    </row>
    <row r="15" ht="15.75" customHeight="1" s="126">
      <c r="A15" s="189" t="inlineStr">
        <is>
          <t>CUST10012</t>
        </is>
      </c>
      <c r="B15" s="190" t="inlineStr">
        <is>
          <t>Michael Chen</t>
        </is>
      </c>
      <c r="C15" s="189" t="inlineStr">
        <is>
          <t>12/12/1971</t>
        </is>
      </c>
      <c r="D15" s="189" t="inlineStr">
        <is>
          <t>Singapore</t>
        </is>
      </c>
      <c r="E15" s="189" t="inlineStr">
        <is>
          <t>Corporate</t>
        </is>
      </c>
      <c r="F15" s="187" t="inlineStr">
        <is>
          <t>Low</t>
        </is>
      </c>
      <c r="G15" s="188" t="inlineStr">
        <is>
          <t>Verified</t>
        </is>
      </c>
      <c r="H15" s="189" t="inlineStr">
        <is>
          <t>CPF</t>
        </is>
      </c>
      <c r="I15" s="189" t="inlineStr">
        <is>
          <t>XX200077</t>
        </is>
      </c>
      <c r="J15" s="189" t="inlineStr">
        <is>
          <t>28/12/2028</t>
        </is>
      </c>
      <c r="K15" s="189" t="inlineStr">
        <is>
          <t>12/12/2023</t>
        </is>
      </c>
      <c r="L15" s="189" t="inlineStr">
        <is>
          <t>11/12/2024</t>
        </is>
      </c>
      <c r="M15" s="189" t="inlineStr">
        <is>
          <t>11/12/2025</t>
        </is>
      </c>
      <c r="N15" s="189" t="inlineStr">
        <is>
          <t>No</t>
        </is>
      </c>
      <c r="O15" s="189" t="inlineStr">
        <is>
          <t>Pass</t>
        </is>
      </c>
      <c r="P15" s="189" t="inlineStr">
        <is>
          <t>Restricted</t>
        </is>
      </c>
    </row>
    <row r="16" ht="15.75" customHeight="1" s="126">
      <c r="A16" s="185" t="inlineStr">
        <is>
          <t>CUST10013</t>
        </is>
      </c>
      <c r="B16" s="186" t="inlineStr">
        <is>
          <t>Aisha Bakr</t>
        </is>
      </c>
      <c r="C16" s="185" t="inlineStr">
        <is>
          <t>13/01/1972</t>
        </is>
      </c>
      <c r="D16" s="185" t="inlineStr">
        <is>
          <t>Nigeria</t>
        </is>
      </c>
      <c r="E16" s="185" t="inlineStr">
        <is>
          <t>SME</t>
        </is>
      </c>
      <c r="F16" s="194" t="inlineStr">
        <is>
          <t>High</t>
        </is>
      </c>
      <c r="G16" s="188" t="inlineStr">
        <is>
          <t>Verified</t>
        </is>
      </c>
      <c r="H16" s="185" t="inlineStr">
        <is>
          <t>My Number</t>
        </is>
      </c>
      <c r="I16" s="185" t="inlineStr">
        <is>
          <t>XX200084</t>
        </is>
      </c>
      <c r="J16" s="185" t="inlineStr">
        <is>
          <t>28/01/2025</t>
        </is>
      </c>
      <c r="K16" s="185" t="inlineStr">
        <is>
          <t>13/01/2018</t>
        </is>
      </c>
      <c r="L16" s="185" t="inlineStr">
        <is>
          <t>13/01/2019</t>
        </is>
      </c>
      <c r="M16" s="185" t="inlineStr">
        <is>
          <t>13/01/2020</t>
        </is>
      </c>
      <c r="N16" s="195" t="inlineStr">
        <is>
          <t>Yes</t>
        </is>
      </c>
      <c r="O16" s="185" t="inlineStr">
        <is>
          <t>Fail</t>
        </is>
      </c>
      <c r="P16" s="185" t="inlineStr">
        <is>
          <t>Flagged against sanctions list – under review</t>
        </is>
      </c>
    </row>
    <row r="17" ht="15.75" customHeight="1" s="126">
      <c r="A17" s="189" t="inlineStr">
        <is>
          <t>CUST10014</t>
        </is>
      </c>
      <c r="B17" s="190" t="inlineStr">
        <is>
          <t>Pedro Alves</t>
        </is>
      </c>
      <c r="C17" s="189" t="inlineStr">
        <is>
          <t>14/02/1973</t>
        </is>
      </c>
      <c r="D17" s="189" t="inlineStr">
        <is>
          <t>Brazil</t>
        </is>
      </c>
      <c r="E17" s="189" t="inlineStr">
        <is>
          <t>Joint</t>
        </is>
      </c>
      <c r="F17" s="187" t="inlineStr">
        <is>
          <t>Low</t>
        </is>
      </c>
      <c r="G17" s="188" t="inlineStr">
        <is>
          <t>Verified</t>
        </is>
      </c>
      <c r="H17" s="189" t="inlineStr">
        <is>
          <t>CI</t>
        </is>
      </c>
      <c r="I17" s="189" t="inlineStr">
        <is>
          <t>XX200091</t>
        </is>
      </c>
      <c r="J17" s="189" t="inlineStr">
        <is>
          <t>28/02/2026</t>
        </is>
      </c>
      <c r="K17" s="189" t="inlineStr">
        <is>
          <t>14/02/2019</t>
        </is>
      </c>
      <c r="L17" s="189" t="inlineStr">
        <is>
          <t>14/02/2020</t>
        </is>
      </c>
      <c r="M17" s="189" t="inlineStr">
        <is>
          <t>13/02/2021</t>
        </is>
      </c>
      <c r="N17" s="189" t="inlineStr">
        <is>
          <t>No</t>
        </is>
      </c>
      <c r="O17" s="189" t="inlineStr">
        <is>
          <t>Pass</t>
        </is>
      </c>
      <c r="P17" s="189" t="inlineStr">
        <is>
          <t>Monitoring</t>
        </is>
      </c>
    </row>
    <row r="18" ht="15.75" customHeight="1" s="126">
      <c r="A18" s="185" t="inlineStr">
        <is>
          <t>CUST10015</t>
        </is>
      </c>
      <c r="B18" s="186" t="inlineStr">
        <is>
          <t>Nadia Petrova</t>
        </is>
      </c>
      <c r="C18" s="185" t="inlineStr">
        <is>
          <t>15/03/1974</t>
        </is>
      </c>
      <c r="D18" s="185" t="inlineStr">
        <is>
          <t>Ukraine</t>
        </is>
      </c>
      <c r="E18" s="185" t="inlineStr">
        <is>
          <t>Trust</t>
        </is>
      </c>
      <c r="F18" s="192" t="inlineStr">
        <is>
          <t>Medium</t>
        </is>
      </c>
      <c r="G18" s="193" t="inlineStr">
        <is>
          <t>Under Review</t>
        </is>
      </c>
      <c r="H18" s="185" t="inlineStr">
        <is>
          <t>Driver's Licence</t>
        </is>
      </c>
      <c r="I18" s="185" t="inlineStr">
        <is>
          <t>XX200098</t>
        </is>
      </c>
      <c r="J18" s="185" t="inlineStr">
        <is>
          <t>28/03/2027</t>
        </is>
      </c>
      <c r="K18" s="185" t="inlineStr">
        <is>
          <t>15/03/2020</t>
        </is>
      </c>
      <c r="L18" s="185" t="inlineStr">
        <is>
          <t>15/03/2021</t>
        </is>
      </c>
      <c r="M18" s="185" t="inlineStr">
        <is>
          <t>15/03/2022</t>
        </is>
      </c>
      <c r="N18" s="185" t="inlineStr">
        <is>
          <t>No</t>
        </is>
      </c>
      <c r="O18" s="185" t="inlineStr">
        <is>
          <t>Pass</t>
        </is>
      </c>
      <c r="P18" s="185" t="inlineStr">
        <is>
          <t>Active</t>
        </is>
      </c>
    </row>
    <row r="19" ht="15.75" customHeight="1" s="126">
      <c r="A19" s="189" t="inlineStr">
        <is>
          <t>CUST10016</t>
        </is>
      </c>
      <c r="B19" s="190" t="inlineStr">
        <is>
          <t>James Okafor</t>
        </is>
      </c>
      <c r="C19" s="189" t="inlineStr">
        <is>
          <t>16/04/1975</t>
        </is>
      </c>
      <c r="D19" s="189" t="inlineStr">
        <is>
          <t>Ghana</t>
        </is>
      </c>
      <c r="E19" s="189" t="inlineStr">
        <is>
          <t>Individual</t>
        </is>
      </c>
      <c r="F19" s="194" t="inlineStr">
        <is>
          <t>High</t>
        </is>
      </c>
      <c r="G19" s="188" t="inlineStr">
        <is>
          <t>Verified</t>
        </is>
      </c>
      <c r="H19" s="189" t="inlineStr">
        <is>
          <t>Aadhaar</t>
        </is>
      </c>
      <c r="I19" s="189" t="inlineStr">
        <is>
          <t>XX200105</t>
        </is>
      </c>
      <c r="J19" s="189" t="inlineStr">
        <is>
          <t>28/04/2028</t>
        </is>
      </c>
      <c r="K19" s="189" t="inlineStr">
        <is>
          <t>16/04/2021</t>
        </is>
      </c>
      <c r="L19" s="189" t="inlineStr">
        <is>
          <t>16/04/2022</t>
        </is>
      </c>
      <c r="M19" s="189" t="inlineStr">
        <is>
          <t>16/04/2023</t>
        </is>
      </c>
      <c r="N19" s="189" t="inlineStr">
        <is>
          <t>No</t>
        </is>
      </c>
      <c r="O19" s="189" t="inlineStr">
        <is>
          <t>Fail</t>
        </is>
      </c>
      <c r="P19" s="189" t="inlineStr">
        <is>
          <t>Flagged against sanctions list – under review</t>
        </is>
      </c>
    </row>
    <row r="20" ht="15.75" customHeight="1" s="126">
      <c r="A20" s="185" t="inlineStr">
        <is>
          <t>CUST10017</t>
        </is>
      </c>
      <c r="B20" s="186" t="inlineStr">
        <is>
          <t>Mei Lin</t>
        </is>
      </c>
      <c r="C20" s="185" t="inlineStr">
        <is>
          <t>17/05/1976</t>
        </is>
      </c>
      <c r="D20" s="185" t="inlineStr">
        <is>
          <t>China</t>
        </is>
      </c>
      <c r="E20" s="185" t="inlineStr">
        <is>
          <t>Corporate</t>
        </is>
      </c>
      <c r="F20" s="187" t="inlineStr">
        <is>
          <t>Low</t>
        </is>
      </c>
      <c r="G20" s="196" t="inlineStr">
        <is>
          <t>Pending</t>
        </is>
      </c>
      <c r="H20" s="185" t="inlineStr">
        <is>
          <t>Passport</t>
        </is>
      </c>
      <c r="I20" s="185" t="inlineStr">
        <is>
          <t>XX200112</t>
        </is>
      </c>
      <c r="J20" s="185" t="inlineStr">
        <is>
          <t>28/05/2025</t>
        </is>
      </c>
      <c r="K20" s="185" t="inlineStr">
        <is>
          <t>17/05/2022</t>
        </is>
      </c>
      <c r="L20" s="185" t="inlineStr">
        <is>
          <t>17/05/2023</t>
        </is>
      </c>
      <c r="M20" s="185" t="inlineStr">
        <is>
          <t>16/05/2024</t>
        </is>
      </c>
      <c r="N20" s="185" t="inlineStr">
        <is>
          <t>No</t>
        </is>
      </c>
      <c r="O20" s="185" t="inlineStr">
        <is>
          <t>Pass</t>
        </is>
      </c>
      <c r="P20" s="185" t="inlineStr">
        <is>
          <t>Active</t>
        </is>
      </c>
    </row>
    <row r="21" ht="15.75" customHeight="1" s="126">
      <c r="A21" s="189" t="inlineStr">
        <is>
          <t>CUST10018</t>
        </is>
      </c>
      <c r="B21" s="190" t="inlineStr">
        <is>
          <t>Roberto Ferrari</t>
        </is>
      </c>
      <c r="C21" s="189" t="inlineStr">
        <is>
          <t>18/06/1977</t>
        </is>
      </c>
      <c r="D21" s="189" t="inlineStr">
        <is>
          <t>Italy</t>
        </is>
      </c>
      <c r="E21" s="189" t="inlineStr">
        <is>
          <t>SME</t>
        </is>
      </c>
      <c r="F21" s="192" t="inlineStr">
        <is>
          <t>Medium</t>
        </is>
      </c>
      <c r="G21" s="193" t="inlineStr">
        <is>
          <t>Under Review</t>
        </is>
      </c>
      <c r="H21" s="189" t="inlineStr">
        <is>
          <t>NID</t>
        </is>
      </c>
      <c r="I21" s="189" t="inlineStr">
        <is>
          <t>XX200119</t>
        </is>
      </c>
      <c r="J21" s="189" t="inlineStr">
        <is>
          <t>28/06/2026</t>
        </is>
      </c>
      <c r="K21" s="189" t="inlineStr">
        <is>
          <t>18/06/2023</t>
        </is>
      </c>
      <c r="L21" s="189" t="inlineStr">
        <is>
          <t>17/06/2024</t>
        </is>
      </c>
      <c r="M21" s="189" t="inlineStr">
        <is>
          <t>17/06/2025</t>
        </is>
      </c>
      <c r="N21" s="189" t="inlineStr">
        <is>
          <t>No</t>
        </is>
      </c>
      <c r="O21" s="189" t="inlineStr">
        <is>
          <t>Pass</t>
        </is>
      </c>
      <c r="P21" s="189" t="inlineStr">
        <is>
          <t>Docs Pending</t>
        </is>
      </c>
    </row>
    <row r="22" ht="15.75" customHeight="1" s="126">
      <c r="A22" s="185" t="inlineStr">
        <is>
          <t>CUST10019</t>
        </is>
      </c>
      <c r="B22" s="186" t="inlineStr">
        <is>
          <t>Zara Khan</t>
        </is>
      </c>
      <c r="C22" s="185" t="inlineStr">
        <is>
          <t>19/07/1978</t>
        </is>
      </c>
      <c r="D22" s="185" t="inlineStr">
        <is>
          <t>Pakistan</t>
        </is>
      </c>
      <c r="E22" s="185" t="inlineStr">
        <is>
          <t>Joint</t>
        </is>
      </c>
      <c r="F22" s="192" t="inlineStr">
        <is>
          <t>Medium</t>
        </is>
      </c>
      <c r="G22" s="191" t="inlineStr">
        <is>
          <t>Expired</t>
        </is>
      </c>
      <c r="H22" s="185" t="inlineStr">
        <is>
          <t>NRIC</t>
        </is>
      </c>
      <c r="I22" s="185" t="inlineStr">
        <is>
          <t>XX200126</t>
        </is>
      </c>
      <c r="J22" s="185" t="inlineStr">
        <is>
          <t>28/07/2027</t>
        </is>
      </c>
      <c r="K22" s="185" t="inlineStr">
        <is>
          <t>19/07/2018</t>
        </is>
      </c>
      <c r="L22" s="185" t="inlineStr">
        <is>
          <t>19/07/2019</t>
        </is>
      </c>
      <c r="M22" s="185" t="inlineStr">
        <is>
          <t>18/07/2020</t>
        </is>
      </c>
      <c r="N22" s="185" t="inlineStr">
        <is>
          <t>No</t>
        </is>
      </c>
      <c r="O22" s="185" t="inlineStr">
        <is>
          <t>Pass</t>
        </is>
      </c>
      <c r="P22" s="185" t="inlineStr">
        <is>
          <t>Restricted</t>
        </is>
      </c>
    </row>
    <row r="23" ht="15.75" customHeight="1" s="126">
      <c r="A23" s="189" t="inlineStr">
        <is>
          <t>CUST10020</t>
        </is>
      </c>
      <c r="B23" s="190" t="inlineStr">
        <is>
          <t>David Nakamura</t>
        </is>
      </c>
      <c r="C23" s="189" t="inlineStr">
        <is>
          <t>20/08/1979</t>
        </is>
      </c>
      <c r="D23" s="189" t="inlineStr">
        <is>
          <t>Japan</t>
        </is>
      </c>
      <c r="E23" s="189" t="inlineStr">
        <is>
          <t>Trust</t>
        </is>
      </c>
      <c r="F23" s="187" t="inlineStr">
        <is>
          <t>Low</t>
        </is>
      </c>
      <c r="G23" s="193" t="inlineStr">
        <is>
          <t>Under Review</t>
        </is>
      </c>
      <c r="H23" s="189" t="inlineStr">
        <is>
          <t>CPF</t>
        </is>
      </c>
      <c r="I23" s="189" t="inlineStr">
        <is>
          <t>XX200133</t>
        </is>
      </c>
      <c r="J23" s="189" t="inlineStr">
        <is>
          <t>28/08/2028</t>
        </is>
      </c>
      <c r="K23" s="189" t="inlineStr">
        <is>
          <t>20/08/2019</t>
        </is>
      </c>
      <c r="L23" s="189" t="inlineStr">
        <is>
          <t>19/08/2020</t>
        </is>
      </c>
      <c r="M23" s="189" t="inlineStr">
        <is>
          <t>19/08/2021</t>
        </is>
      </c>
      <c r="N23" s="189" t="inlineStr">
        <is>
          <t>No</t>
        </is>
      </c>
      <c r="O23" s="189" t="inlineStr">
        <is>
          <t>Pass</t>
        </is>
      </c>
      <c r="P23" s="189" t="inlineStr">
        <is>
          <t>Suspended</t>
        </is>
      </c>
    </row>
    <row r="24" ht="15.75" customHeight="1" s="126">
      <c r="A24" s="185" t="inlineStr">
        <is>
          <t>CUST10021</t>
        </is>
      </c>
      <c r="B24" s="186" t="inlineStr">
        <is>
          <t>Hassan Al-Amin</t>
        </is>
      </c>
      <c r="C24" s="185" t="inlineStr">
        <is>
          <t>21/09/1980</t>
        </is>
      </c>
      <c r="D24" s="185" t="inlineStr">
        <is>
          <t>UAE</t>
        </is>
      </c>
      <c r="E24" s="185" t="inlineStr">
        <is>
          <t>Individual</t>
        </is>
      </c>
      <c r="F24" s="194" t="inlineStr">
        <is>
          <t>High</t>
        </is>
      </c>
      <c r="G24" s="191" t="inlineStr">
        <is>
          <t>Expired</t>
        </is>
      </c>
      <c r="H24" s="185" t="inlineStr">
        <is>
          <t>My Number</t>
        </is>
      </c>
      <c r="I24" s="185" t="inlineStr">
        <is>
          <t>XX200140</t>
        </is>
      </c>
      <c r="J24" s="185" t="inlineStr">
        <is>
          <t>28/09/2025</t>
        </is>
      </c>
      <c r="K24" s="185" t="inlineStr">
        <is>
          <t>21/09/2020</t>
        </is>
      </c>
      <c r="L24" s="185" t="inlineStr">
        <is>
          <t>21/09/2021</t>
        </is>
      </c>
      <c r="M24" s="185" t="inlineStr">
        <is>
          <t>21/09/2022</t>
        </is>
      </c>
      <c r="N24" s="195" t="inlineStr">
        <is>
          <t>Yes</t>
        </is>
      </c>
      <c r="O24" s="185" t="inlineStr">
        <is>
          <t>Pass</t>
        </is>
      </c>
      <c r="P24" s="185" t="inlineStr">
        <is>
          <t>Monitoring</t>
        </is>
      </c>
    </row>
    <row r="25" ht="15.75" customHeight="1" s="126">
      <c r="A25" s="189" t="inlineStr">
        <is>
          <t>CUST10022</t>
        </is>
      </c>
      <c r="B25" s="190" t="inlineStr">
        <is>
          <t>Sara Lindqvist</t>
        </is>
      </c>
      <c r="C25" s="189" t="inlineStr">
        <is>
          <t>22/10/1981</t>
        </is>
      </c>
      <c r="D25" s="189" t="inlineStr">
        <is>
          <t>Sweden</t>
        </is>
      </c>
      <c r="E25" s="189" t="inlineStr">
        <is>
          <t>Corporate</t>
        </is>
      </c>
      <c r="F25" s="187" t="inlineStr">
        <is>
          <t>Low</t>
        </is>
      </c>
      <c r="G25" s="188" t="inlineStr">
        <is>
          <t>Verified</t>
        </is>
      </c>
      <c r="H25" s="189" t="inlineStr">
        <is>
          <t>CI</t>
        </is>
      </c>
      <c r="I25" s="189" t="inlineStr">
        <is>
          <t>XX200147</t>
        </is>
      </c>
      <c r="J25" s="189" t="inlineStr">
        <is>
          <t>28/10/2026</t>
        </is>
      </c>
      <c r="K25" s="189" t="inlineStr">
        <is>
          <t>22/10/2021</t>
        </is>
      </c>
      <c r="L25" s="189" t="inlineStr">
        <is>
          <t>22/10/2022</t>
        </is>
      </c>
      <c r="M25" s="189" t="inlineStr">
        <is>
          <t>22/10/2023</t>
        </is>
      </c>
      <c r="N25" s="189" t="inlineStr">
        <is>
          <t>No</t>
        </is>
      </c>
      <c r="O25" s="189" t="inlineStr">
        <is>
          <t>Pass</t>
        </is>
      </c>
      <c r="P25" s="189" t="inlineStr">
        <is>
          <t>Active</t>
        </is>
      </c>
    </row>
    <row r="26" ht="15.75" customHeight="1" s="126">
      <c r="A26" s="185" t="inlineStr">
        <is>
          <t>CUST10023</t>
        </is>
      </c>
      <c r="B26" s="186" t="inlineStr">
        <is>
          <t>Kwame Asante</t>
        </is>
      </c>
      <c r="C26" s="185" t="inlineStr">
        <is>
          <t>23/11/1982</t>
        </is>
      </c>
      <c r="D26" s="185" t="inlineStr">
        <is>
          <t>Ghana</t>
        </is>
      </c>
      <c r="E26" s="185" t="inlineStr">
        <is>
          <t>SME</t>
        </is>
      </c>
      <c r="F26" s="192" t="inlineStr">
        <is>
          <t>Medium</t>
        </is>
      </c>
      <c r="G26" s="188" t="inlineStr">
        <is>
          <t>Verified</t>
        </is>
      </c>
      <c r="H26" s="185" t="inlineStr">
        <is>
          <t>Driver's Licence</t>
        </is>
      </c>
      <c r="I26" s="185" t="inlineStr">
        <is>
          <t>XX200154</t>
        </is>
      </c>
      <c r="J26" s="185" t="inlineStr">
        <is>
          <t>28/11/2027</t>
        </is>
      </c>
      <c r="K26" s="185" t="inlineStr">
        <is>
          <t>23/11/2022</t>
        </is>
      </c>
      <c r="L26" s="185" t="inlineStr">
        <is>
          <t>23/11/2023</t>
        </is>
      </c>
      <c r="M26" s="185" t="inlineStr">
        <is>
          <t>22/11/2024</t>
        </is>
      </c>
      <c r="N26" s="185" t="inlineStr">
        <is>
          <t>No</t>
        </is>
      </c>
      <c r="O26" s="185" t="inlineStr">
        <is>
          <t>Pass</t>
        </is>
      </c>
      <c r="P26" s="185" t="inlineStr">
        <is>
          <t>Active</t>
        </is>
      </c>
    </row>
    <row r="27" ht="15.75" customHeight="1" s="126">
      <c r="A27" s="189" t="inlineStr">
        <is>
          <t>CUST10024</t>
        </is>
      </c>
      <c r="B27" s="190" t="inlineStr">
        <is>
          <t>Lena Svensson</t>
        </is>
      </c>
      <c r="C27" s="189" t="inlineStr">
        <is>
          <t>24/12/1983</t>
        </is>
      </c>
      <c r="D27" s="189" t="inlineStr">
        <is>
          <t>Sweden</t>
        </is>
      </c>
      <c r="E27" s="189" t="inlineStr">
        <is>
          <t>Joint</t>
        </is>
      </c>
      <c r="F27" s="187" t="inlineStr">
        <is>
          <t>Low</t>
        </is>
      </c>
      <c r="G27" s="196" t="inlineStr">
        <is>
          <t>Pending</t>
        </is>
      </c>
      <c r="H27" s="189" t="inlineStr">
        <is>
          <t>Aadhaar</t>
        </is>
      </c>
      <c r="I27" s="189" t="inlineStr">
        <is>
          <t>XX200161</t>
        </is>
      </c>
      <c r="J27" s="189" t="inlineStr">
        <is>
          <t>28/12/2028</t>
        </is>
      </c>
      <c r="K27" s="189" t="inlineStr">
        <is>
          <t>24/12/2023</t>
        </is>
      </c>
      <c r="L27" s="189" t="inlineStr">
        <is>
          <t>23/12/2024</t>
        </is>
      </c>
      <c r="M27" s="189" t="inlineStr">
        <is>
          <t>23/12/2025</t>
        </is>
      </c>
      <c r="N27" s="189" t="inlineStr">
        <is>
          <t>No</t>
        </is>
      </c>
      <c r="O27" s="189" t="inlineStr">
        <is>
          <t>Pass</t>
        </is>
      </c>
      <c r="P27" s="189" t="inlineStr">
        <is>
          <t>Active</t>
        </is>
      </c>
    </row>
    <row r="28" ht="15.75" customHeight="1" s="126">
      <c r="A28" s="185" t="inlineStr">
        <is>
          <t>CUST10025</t>
        </is>
      </c>
      <c r="B28" s="186" t="inlineStr">
        <is>
          <t>Felix Müller</t>
        </is>
      </c>
      <c r="C28" s="185" t="inlineStr">
        <is>
          <t>25/01/1984</t>
        </is>
      </c>
      <c r="D28" s="185" t="inlineStr">
        <is>
          <t>Germany</t>
        </is>
      </c>
      <c r="E28" s="185" t="inlineStr">
        <is>
          <t>Trust</t>
        </is>
      </c>
      <c r="F28" s="187" t="inlineStr">
        <is>
          <t>Low</t>
        </is>
      </c>
      <c r="G28" s="196" t="inlineStr">
        <is>
          <t>Pending</t>
        </is>
      </c>
      <c r="H28" s="185" t="inlineStr">
        <is>
          <t>Passport</t>
        </is>
      </c>
      <c r="I28" s="185" t="inlineStr">
        <is>
          <t>XX200168</t>
        </is>
      </c>
      <c r="J28" s="185" t="inlineStr">
        <is>
          <t>28/01/2025</t>
        </is>
      </c>
      <c r="K28" s="185" t="inlineStr">
        <is>
          <t>25/01/2018</t>
        </is>
      </c>
      <c r="L28" s="185" t="inlineStr">
        <is>
          <t>25/01/2019</t>
        </is>
      </c>
      <c r="M28" s="185" t="inlineStr">
        <is>
          <t>25/01/2020</t>
        </is>
      </c>
      <c r="N28" s="185" t="inlineStr">
        <is>
          <t>No</t>
        </is>
      </c>
      <c r="O28" s="185" t="inlineStr">
        <is>
          <t>Pass</t>
        </is>
      </c>
      <c r="P28" s="185" t="inlineStr">
        <is>
          <t>Docs Pending</t>
        </is>
      </c>
    </row>
    <row r="29" ht="15.75" customHeight="1" s="126">
      <c r="A29" s="189" t="inlineStr">
        <is>
          <t>CUST10026</t>
        </is>
      </c>
      <c r="B29" s="190" t="inlineStr">
        <is>
          <t>Amara Diallo</t>
        </is>
      </c>
      <c r="C29" s="189" t="inlineStr">
        <is>
          <t>26/02/1985</t>
        </is>
      </c>
      <c r="D29" s="189" t="inlineStr">
        <is>
          <t>Senegal</t>
        </is>
      </c>
      <c r="E29" s="189" t="inlineStr">
        <is>
          <t>Individual</t>
        </is>
      </c>
      <c r="F29" s="194" t="inlineStr">
        <is>
          <t>High</t>
        </is>
      </c>
      <c r="G29" s="188" t="inlineStr">
        <is>
          <t>Verified</t>
        </is>
      </c>
      <c r="H29" s="189" t="inlineStr">
        <is>
          <t>NID</t>
        </is>
      </c>
      <c r="I29" s="189" t="inlineStr">
        <is>
          <t>XX200175</t>
        </is>
      </c>
      <c r="J29" s="189" t="inlineStr">
        <is>
          <t>28/02/2026</t>
        </is>
      </c>
      <c r="K29" s="189" t="inlineStr">
        <is>
          <t>26/02/2019</t>
        </is>
      </c>
      <c r="L29" s="189" t="inlineStr">
        <is>
          <t>26/02/2020</t>
        </is>
      </c>
      <c r="M29" s="189" t="inlineStr">
        <is>
          <t>25/02/2021</t>
        </is>
      </c>
      <c r="N29" s="189" t="inlineStr">
        <is>
          <t>No</t>
        </is>
      </c>
      <c r="O29" s="189" t="inlineStr">
        <is>
          <t>Pass</t>
        </is>
      </c>
      <c r="P29" s="189" t="inlineStr">
        <is>
          <t>Restricted</t>
        </is>
      </c>
    </row>
    <row r="30" ht="15.75" customHeight="1" s="126">
      <c r="A30" s="185" t="inlineStr">
        <is>
          <t>CUST10027</t>
        </is>
      </c>
      <c r="B30" s="186" t="inlineStr">
        <is>
          <t>Ricardo Santos</t>
        </is>
      </c>
      <c r="C30" s="185" t="inlineStr">
        <is>
          <t>27/03/1986</t>
        </is>
      </c>
      <c r="D30" s="185" t="inlineStr">
        <is>
          <t>Brazil</t>
        </is>
      </c>
      <c r="E30" s="185" t="inlineStr">
        <is>
          <t>Corporate</t>
        </is>
      </c>
      <c r="F30" s="192" t="inlineStr">
        <is>
          <t>Medium</t>
        </is>
      </c>
      <c r="G30" s="191" t="inlineStr">
        <is>
          <t>Expired</t>
        </is>
      </c>
      <c r="H30" s="185" t="inlineStr">
        <is>
          <t>NRIC</t>
        </is>
      </c>
      <c r="I30" s="185" t="inlineStr">
        <is>
          <t>XX200182</t>
        </is>
      </c>
      <c r="J30" s="185" t="inlineStr">
        <is>
          <t>28/03/2027</t>
        </is>
      </c>
      <c r="K30" s="185" t="inlineStr">
        <is>
          <t>27/03/2020</t>
        </is>
      </c>
      <c r="L30" s="185" t="inlineStr">
        <is>
          <t>27/03/2021</t>
        </is>
      </c>
      <c r="M30" s="185" t="inlineStr">
        <is>
          <t>27/03/2022</t>
        </is>
      </c>
      <c r="N30" s="185" t="inlineStr">
        <is>
          <t>No</t>
        </is>
      </c>
      <c r="O30" s="185" t="inlineStr">
        <is>
          <t>Pass</t>
        </is>
      </c>
      <c r="P30" s="185" t="inlineStr">
        <is>
          <t>Suspended</t>
        </is>
      </c>
    </row>
    <row r="31" ht="15.75" customHeight="1" s="126">
      <c r="A31" s="189" t="inlineStr">
        <is>
          <t>CUST10028</t>
        </is>
      </c>
      <c r="B31" s="190" t="inlineStr">
        <is>
          <t>Priya Kapoor</t>
        </is>
      </c>
      <c r="C31" s="189" t="inlineStr">
        <is>
          <t>28/04/1987</t>
        </is>
      </c>
      <c r="D31" s="189" t="inlineStr">
        <is>
          <t>India</t>
        </is>
      </c>
      <c r="E31" s="189" t="inlineStr">
        <is>
          <t>SME</t>
        </is>
      </c>
      <c r="F31" s="187" t="inlineStr">
        <is>
          <t>Low</t>
        </is>
      </c>
      <c r="G31" s="193" t="inlineStr">
        <is>
          <t>Under Review</t>
        </is>
      </c>
      <c r="H31" s="189" t="inlineStr">
        <is>
          <t>CPF</t>
        </is>
      </c>
      <c r="I31" s="189" t="inlineStr">
        <is>
          <t>XX200189</t>
        </is>
      </c>
      <c r="J31" s="189" t="inlineStr">
        <is>
          <t>28/04/2028</t>
        </is>
      </c>
      <c r="K31" s="189" t="inlineStr">
        <is>
          <t>28/04/2021</t>
        </is>
      </c>
      <c r="L31" s="189" t="inlineStr">
        <is>
          <t>28/04/2022</t>
        </is>
      </c>
      <c r="M31" s="189" t="inlineStr">
        <is>
          <t>28/04/2023</t>
        </is>
      </c>
      <c r="N31" s="189" t="inlineStr">
        <is>
          <t>No</t>
        </is>
      </c>
      <c r="O31" s="189" t="inlineStr">
        <is>
          <t>Pass</t>
        </is>
      </c>
      <c r="P31" s="189" t="inlineStr">
        <is>
          <t>Monitoring</t>
        </is>
      </c>
    </row>
    <row r="32" ht="15.75" customHeight="1" s="126">
      <c r="A32" s="185" t="inlineStr">
        <is>
          <t>CUST10029</t>
        </is>
      </c>
      <c r="B32" s="186" t="inlineStr">
        <is>
          <t>Dmitri Volkov</t>
        </is>
      </c>
      <c r="C32" s="185" t="inlineStr">
        <is>
          <t>01/05/1988</t>
        </is>
      </c>
      <c r="D32" s="185" t="inlineStr">
        <is>
          <t>Russia</t>
        </is>
      </c>
      <c r="E32" s="185" t="inlineStr">
        <is>
          <t>Joint</t>
        </is>
      </c>
      <c r="F32" s="194" t="inlineStr">
        <is>
          <t>High</t>
        </is>
      </c>
      <c r="G32" s="193" t="inlineStr">
        <is>
          <t>Under Review</t>
        </is>
      </c>
      <c r="H32" s="185" t="inlineStr">
        <is>
          <t>My Number</t>
        </is>
      </c>
      <c r="I32" s="185" t="inlineStr">
        <is>
          <t>XX200196</t>
        </is>
      </c>
      <c r="J32" s="185" t="inlineStr">
        <is>
          <t>28/05/2025</t>
        </is>
      </c>
      <c r="K32" s="185" t="inlineStr">
        <is>
          <t>01/05/2022</t>
        </is>
      </c>
      <c r="L32" s="185" t="inlineStr">
        <is>
          <t>01/05/2023</t>
        </is>
      </c>
      <c r="M32" s="185" t="inlineStr">
        <is>
          <t>30/04/2024</t>
        </is>
      </c>
      <c r="N32" s="185" t="inlineStr">
        <is>
          <t>No</t>
        </is>
      </c>
      <c r="O32" s="185" t="inlineStr">
        <is>
          <t>Pass</t>
        </is>
      </c>
      <c r="P32" s="185" t="inlineStr">
        <is>
          <t>Active</t>
        </is>
      </c>
    </row>
    <row r="33" ht="15.75" customHeight="1" s="126">
      <c r="A33" s="189" t="inlineStr">
        <is>
          <t>CUST10030</t>
        </is>
      </c>
      <c r="B33" s="190" t="inlineStr">
        <is>
          <t>Aiko Tanaka</t>
        </is>
      </c>
      <c r="C33" s="189" t="inlineStr">
        <is>
          <t>02/06/1989</t>
        </is>
      </c>
      <c r="D33" s="189" t="inlineStr">
        <is>
          <t>Japan</t>
        </is>
      </c>
      <c r="E33" s="189" t="inlineStr">
        <is>
          <t>Trust</t>
        </is>
      </c>
      <c r="F33" s="192" t="inlineStr">
        <is>
          <t>Medium</t>
        </is>
      </c>
      <c r="G33" s="188" t="inlineStr">
        <is>
          <t>Verified</t>
        </is>
      </c>
      <c r="H33" s="189" t="inlineStr">
        <is>
          <t>CI</t>
        </is>
      </c>
      <c r="I33" s="189" t="inlineStr">
        <is>
          <t>XX200203</t>
        </is>
      </c>
      <c r="J33" s="189" t="inlineStr">
        <is>
          <t>28/06/2026</t>
        </is>
      </c>
      <c r="K33" s="189" t="inlineStr">
        <is>
          <t>02/06/2023</t>
        </is>
      </c>
      <c r="L33" s="189" t="inlineStr">
        <is>
          <t>01/06/2024</t>
        </is>
      </c>
      <c r="M33" s="189" t="inlineStr">
        <is>
          <t>01/06/2025</t>
        </is>
      </c>
      <c r="N33" s="189" t="inlineStr">
        <is>
          <t>No</t>
        </is>
      </c>
      <c r="O33" s="189" t="inlineStr">
        <is>
          <t>Pass</t>
        </is>
      </c>
      <c r="P33" s="189" t="inlineStr">
        <is>
          <t>Active</t>
        </is>
      </c>
    </row>
    <row r="34" ht="15.75" customHeight="1" s="126">
      <c r="A34" s="185" t="inlineStr">
        <is>
          <t>CUST10031</t>
        </is>
      </c>
      <c r="B34" s="186" t="inlineStr">
        <is>
          <t>Ibrahim Al-Farsi</t>
        </is>
      </c>
      <c r="C34" s="185" t="inlineStr">
        <is>
          <t>03/07/1990</t>
        </is>
      </c>
      <c r="D34" s="185" t="inlineStr">
        <is>
          <t>Oman</t>
        </is>
      </c>
      <c r="E34" s="185" t="inlineStr">
        <is>
          <t>Individual</t>
        </is>
      </c>
      <c r="F34" s="187" t="inlineStr">
        <is>
          <t>Low</t>
        </is>
      </c>
      <c r="G34" s="191" t="inlineStr">
        <is>
          <t>Expired</t>
        </is>
      </c>
      <c r="H34" s="185" t="inlineStr">
        <is>
          <t>Driver's Licence</t>
        </is>
      </c>
      <c r="I34" s="185" t="inlineStr">
        <is>
          <t>XX200210</t>
        </is>
      </c>
      <c r="J34" s="185" t="inlineStr">
        <is>
          <t>28/07/2027</t>
        </is>
      </c>
      <c r="K34" s="185" t="inlineStr">
        <is>
          <t>03/07/2018</t>
        </is>
      </c>
      <c r="L34" s="185" t="inlineStr">
        <is>
          <t>03/07/2019</t>
        </is>
      </c>
      <c r="M34" s="185" t="inlineStr">
        <is>
          <t>02/07/2020</t>
        </is>
      </c>
      <c r="N34" s="185" t="inlineStr">
        <is>
          <t>No</t>
        </is>
      </c>
      <c r="O34" s="185" t="inlineStr">
        <is>
          <t>Pass</t>
        </is>
      </c>
      <c r="P34" s="185" t="inlineStr">
        <is>
          <t>Active</t>
        </is>
      </c>
    </row>
    <row r="35" ht="15.75" customHeight="1" s="126">
      <c r="A35" s="189" t="inlineStr">
        <is>
          <t>CUST10032</t>
        </is>
      </c>
      <c r="B35" s="190" t="inlineStr">
        <is>
          <t>Grace Osei</t>
        </is>
      </c>
      <c r="C35" s="189" t="inlineStr">
        <is>
          <t>04/08/1991</t>
        </is>
      </c>
      <c r="D35" s="189" t="inlineStr">
        <is>
          <t>Ghana</t>
        </is>
      </c>
      <c r="E35" s="189" t="inlineStr">
        <is>
          <t>Corporate</t>
        </is>
      </c>
      <c r="F35" s="192" t="inlineStr">
        <is>
          <t>Medium</t>
        </is>
      </c>
      <c r="G35" s="188" t="inlineStr">
        <is>
          <t>Verified</t>
        </is>
      </c>
      <c r="H35" s="189" t="inlineStr">
        <is>
          <t>Aadhaar</t>
        </is>
      </c>
      <c r="I35" s="189" t="inlineStr">
        <is>
          <t>XX200217</t>
        </is>
      </c>
      <c r="J35" s="189" t="inlineStr">
        <is>
          <t>28/08/2028</t>
        </is>
      </c>
      <c r="K35" s="189" t="inlineStr">
        <is>
          <t>04/08/2019</t>
        </is>
      </c>
      <c r="L35" s="189" t="inlineStr">
        <is>
          <t>03/08/2020</t>
        </is>
      </c>
      <c r="M35" s="189" t="inlineStr">
        <is>
          <t>03/08/2021</t>
        </is>
      </c>
      <c r="N35" s="189" t="inlineStr">
        <is>
          <t>No</t>
        </is>
      </c>
      <c r="O35" s="189" t="inlineStr">
        <is>
          <t>Pass</t>
        </is>
      </c>
      <c r="P35" s="189" t="inlineStr">
        <is>
          <t>Docs Pending</t>
        </is>
      </c>
    </row>
    <row r="36" ht="15.75" customHeight="1" s="126">
      <c r="A36" s="185" t="inlineStr">
        <is>
          <t>CUST10033</t>
        </is>
      </c>
      <c r="B36" s="186" t="inlineStr">
        <is>
          <t>Viktor Kozlov</t>
        </is>
      </c>
      <c r="C36" s="185" t="inlineStr">
        <is>
          <t>05/09/1992</t>
        </is>
      </c>
      <c r="D36" s="185" t="inlineStr">
        <is>
          <t>Russia</t>
        </is>
      </c>
      <c r="E36" s="185" t="inlineStr">
        <is>
          <t>SME</t>
        </is>
      </c>
      <c r="F36" s="194" t="inlineStr">
        <is>
          <t>High</t>
        </is>
      </c>
      <c r="G36" s="188" t="inlineStr">
        <is>
          <t>Verified</t>
        </is>
      </c>
      <c r="H36" s="185" t="inlineStr">
        <is>
          <t>Passport</t>
        </is>
      </c>
      <c r="I36" s="185" t="inlineStr">
        <is>
          <t>XX200224</t>
        </is>
      </c>
      <c r="J36" s="185" t="inlineStr">
        <is>
          <t>28/09/2025</t>
        </is>
      </c>
      <c r="K36" s="185" t="inlineStr">
        <is>
          <t>05/09/2020</t>
        </is>
      </c>
      <c r="L36" s="185" t="inlineStr">
        <is>
          <t>05/09/2021</t>
        </is>
      </c>
      <c r="M36" s="185" t="inlineStr">
        <is>
          <t>05/09/2022</t>
        </is>
      </c>
      <c r="N36" s="185" t="inlineStr">
        <is>
          <t>No</t>
        </is>
      </c>
      <c r="O36" s="185" t="inlineStr">
        <is>
          <t>Pass</t>
        </is>
      </c>
      <c r="P36" s="185" t="inlineStr">
        <is>
          <t>Restricted</t>
        </is>
      </c>
    </row>
    <row r="37" ht="15.75" customHeight="1" s="126">
      <c r="A37" s="189" t="inlineStr">
        <is>
          <t>CUST10034</t>
        </is>
      </c>
      <c r="B37" s="190" t="inlineStr">
        <is>
          <t>Chen Holdings Ltd</t>
        </is>
      </c>
      <c r="C37" s="189" t="inlineStr">
        <is>
          <t>06/10/1993</t>
        </is>
      </c>
      <c r="D37" s="189" t="inlineStr">
        <is>
          <t>China</t>
        </is>
      </c>
      <c r="E37" s="189" t="inlineStr">
        <is>
          <t>Joint</t>
        </is>
      </c>
      <c r="F37" s="194" t="inlineStr">
        <is>
          <t>High</t>
        </is>
      </c>
      <c r="G37" s="188" t="inlineStr">
        <is>
          <t>Verified</t>
        </is>
      </c>
      <c r="H37" s="189" t="inlineStr">
        <is>
          <t>NID</t>
        </is>
      </c>
      <c r="I37" s="189" t="inlineStr">
        <is>
          <t>XX200231</t>
        </is>
      </c>
      <c r="J37" s="189" t="inlineStr">
        <is>
          <t>28/10/2026</t>
        </is>
      </c>
      <c r="K37" s="189" t="inlineStr">
        <is>
          <t>06/10/2021</t>
        </is>
      </c>
      <c r="L37" s="189" t="inlineStr">
        <is>
          <t>06/10/2022</t>
        </is>
      </c>
      <c r="M37" s="189" t="inlineStr">
        <is>
          <t>06/10/2023</t>
        </is>
      </c>
      <c r="N37" s="189" t="inlineStr">
        <is>
          <t>No</t>
        </is>
      </c>
      <c r="O37" s="189" t="inlineStr">
        <is>
          <t>Pass</t>
        </is>
      </c>
      <c r="P37" s="189" t="inlineStr">
        <is>
          <t>Suspended</t>
        </is>
      </c>
    </row>
    <row r="38" ht="15.75" customHeight="1" s="126">
      <c r="A38" s="185" t="inlineStr">
        <is>
          <t>CUST10035</t>
        </is>
      </c>
      <c r="B38" s="186" t="inlineStr">
        <is>
          <t>Layla Nasser</t>
        </is>
      </c>
      <c r="C38" s="185" t="inlineStr">
        <is>
          <t>07/11/1994</t>
        </is>
      </c>
      <c r="D38" s="185" t="inlineStr">
        <is>
          <t>Egypt</t>
        </is>
      </c>
      <c r="E38" s="185" t="inlineStr">
        <is>
          <t>Trust</t>
        </is>
      </c>
      <c r="F38" s="192" t="inlineStr">
        <is>
          <t>Medium</t>
        </is>
      </c>
      <c r="G38" s="196" t="inlineStr">
        <is>
          <t>Pending</t>
        </is>
      </c>
      <c r="H38" s="185" t="inlineStr">
        <is>
          <t>NRIC</t>
        </is>
      </c>
      <c r="I38" s="185" t="inlineStr">
        <is>
          <t>XX200238</t>
        </is>
      </c>
      <c r="J38" s="185" t="inlineStr">
        <is>
          <t>28/11/2027</t>
        </is>
      </c>
      <c r="K38" s="185" t="inlineStr">
        <is>
          <t>07/11/2022</t>
        </is>
      </c>
      <c r="L38" s="185" t="inlineStr">
        <is>
          <t>07/11/2023</t>
        </is>
      </c>
      <c r="M38" s="185" t="inlineStr">
        <is>
          <t>06/11/2024</t>
        </is>
      </c>
      <c r="N38" s="185" t="inlineStr">
        <is>
          <t>No</t>
        </is>
      </c>
      <c r="O38" s="185" t="inlineStr">
        <is>
          <t>Pass</t>
        </is>
      </c>
      <c r="P38" s="185" t="inlineStr">
        <is>
          <t>Monitoring</t>
        </is>
      </c>
    </row>
    <row r="39" ht="15.75" customHeight="1" s="126">
      <c r="A39" s="189" t="inlineStr">
        <is>
          <t>CUST10036</t>
        </is>
      </c>
      <c r="B39" s="190" t="inlineStr">
        <is>
          <t>Isabella Costa</t>
        </is>
      </c>
      <c r="C39" s="189" t="inlineStr">
        <is>
          <t>08/12/1995</t>
        </is>
      </c>
      <c r="D39" s="189" t="inlineStr">
        <is>
          <t>Brazil</t>
        </is>
      </c>
      <c r="E39" s="189" t="inlineStr">
        <is>
          <t>Individual</t>
        </is>
      </c>
      <c r="F39" s="187" t="inlineStr">
        <is>
          <t>Low</t>
        </is>
      </c>
      <c r="G39" s="191" t="inlineStr">
        <is>
          <t>Expired</t>
        </is>
      </c>
      <c r="H39" s="189" t="inlineStr">
        <is>
          <t>CPF</t>
        </is>
      </c>
      <c r="I39" s="189" t="inlineStr">
        <is>
          <t>XX200245</t>
        </is>
      </c>
      <c r="J39" s="189" t="inlineStr">
        <is>
          <t>28/12/2028</t>
        </is>
      </c>
      <c r="K39" s="189" t="inlineStr">
        <is>
          <t>08/12/2023</t>
        </is>
      </c>
      <c r="L39" s="189" t="inlineStr">
        <is>
          <t>07/12/2024</t>
        </is>
      </c>
      <c r="M39" s="189" t="inlineStr">
        <is>
          <t>07/12/2025</t>
        </is>
      </c>
      <c r="N39" s="195" t="inlineStr">
        <is>
          <t>Yes</t>
        </is>
      </c>
      <c r="O39" s="189" t="inlineStr">
        <is>
          <t>Pass</t>
        </is>
      </c>
      <c r="P39" s="189" t="inlineStr">
        <is>
          <t>Active</t>
        </is>
      </c>
    </row>
    <row r="40" ht="15.75" customHeight="1" s="126">
      <c r="A40" s="185" t="inlineStr">
        <is>
          <t>CUST10037</t>
        </is>
      </c>
      <c r="B40" s="186" t="inlineStr">
        <is>
          <t>Mohammed Al-Sayed</t>
        </is>
      </c>
      <c r="C40" s="185" t="inlineStr">
        <is>
          <t>09/01/1996</t>
        </is>
      </c>
      <c r="D40" s="185" t="inlineStr">
        <is>
          <t>Egypt</t>
        </is>
      </c>
      <c r="E40" s="185" t="inlineStr">
        <is>
          <t>Corporate</t>
        </is>
      </c>
      <c r="F40" s="194" t="inlineStr">
        <is>
          <t>High</t>
        </is>
      </c>
      <c r="G40" s="188" t="inlineStr">
        <is>
          <t>Verified</t>
        </is>
      </c>
      <c r="H40" s="185" t="inlineStr">
        <is>
          <t>My Number</t>
        </is>
      </c>
      <c r="I40" s="185" t="inlineStr">
        <is>
          <t>XX200252</t>
        </is>
      </c>
      <c r="J40" s="185" t="inlineStr">
        <is>
          <t>28/01/2025</t>
        </is>
      </c>
      <c r="K40" s="185" t="inlineStr">
        <is>
          <t>09/01/2018</t>
        </is>
      </c>
      <c r="L40" s="185" t="inlineStr">
        <is>
          <t>09/01/2019</t>
        </is>
      </c>
      <c r="M40" s="185" t="inlineStr">
        <is>
          <t>09/01/2020</t>
        </is>
      </c>
      <c r="N40" s="195" t="inlineStr">
        <is>
          <t>Yes</t>
        </is>
      </c>
      <c r="O40" s="185" t="inlineStr">
        <is>
          <t>Pass</t>
        </is>
      </c>
      <c r="P40" s="185" t="inlineStr">
        <is>
          <t>Active</t>
        </is>
      </c>
    </row>
    <row r="41" ht="15.75" customHeight="1" s="126">
      <c r="A41" s="189" t="inlineStr">
        <is>
          <t>CUST10038</t>
        </is>
      </c>
      <c r="B41" s="190" t="inlineStr">
        <is>
          <t>Elena Marchetti</t>
        </is>
      </c>
      <c r="C41" s="189" t="inlineStr">
        <is>
          <t>10/02/1997</t>
        </is>
      </c>
      <c r="D41" s="189" t="inlineStr">
        <is>
          <t>Italy</t>
        </is>
      </c>
      <c r="E41" s="189" t="inlineStr">
        <is>
          <t>SME</t>
        </is>
      </c>
      <c r="F41" s="192" t="inlineStr">
        <is>
          <t>Medium</t>
        </is>
      </c>
      <c r="G41" s="193" t="inlineStr">
        <is>
          <t>Under Review</t>
        </is>
      </c>
      <c r="H41" s="189" t="inlineStr">
        <is>
          <t>CI</t>
        </is>
      </c>
      <c r="I41" s="189" t="inlineStr">
        <is>
          <t>XX200259</t>
        </is>
      </c>
      <c r="J41" s="189" t="inlineStr">
        <is>
          <t>28/02/2026</t>
        </is>
      </c>
      <c r="K41" s="189" t="inlineStr">
        <is>
          <t>10/02/2019</t>
        </is>
      </c>
      <c r="L41" s="189" t="inlineStr">
        <is>
          <t>10/02/2020</t>
        </is>
      </c>
      <c r="M41" s="189" t="inlineStr">
        <is>
          <t>09/02/2021</t>
        </is>
      </c>
      <c r="N41" s="189" t="inlineStr">
        <is>
          <t>No</t>
        </is>
      </c>
      <c r="O41" s="189" t="inlineStr">
        <is>
          <t>Pass</t>
        </is>
      </c>
      <c r="P41" s="189" t="inlineStr">
        <is>
          <t>Active</t>
        </is>
      </c>
    </row>
    <row r="42" ht="15.75" customHeight="1" s="126">
      <c r="A42" s="185" t="inlineStr">
        <is>
          <t>CUST10039</t>
        </is>
      </c>
      <c r="B42" s="186" t="inlineStr">
        <is>
          <t>James Fernandez</t>
        </is>
      </c>
      <c r="C42" s="185" t="inlineStr">
        <is>
          <t>11/03/1998</t>
        </is>
      </c>
      <c r="D42" s="185" t="inlineStr">
        <is>
          <t>Portugal</t>
        </is>
      </c>
      <c r="E42" s="185" t="inlineStr">
        <is>
          <t>Joint</t>
        </is>
      </c>
      <c r="F42" s="187" t="inlineStr">
        <is>
          <t>Low</t>
        </is>
      </c>
      <c r="G42" s="191" t="inlineStr">
        <is>
          <t>Expired</t>
        </is>
      </c>
      <c r="H42" s="185" t="inlineStr">
        <is>
          <t>Driver's Licence</t>
        </is>
      </c>
      <c r="I42" s="185" t="inlineStr">
        <is>
          <t>XX200266</t>
        </is>
      </c>
      <c r="J42" s="185" t="inlineStr">
        <is>
          <t>28/03/2027</t>
        </is>
      </c>
      <c r="K42" s="185" t="inlineStr">
        <is>
          <t>11/03/2020</t>
        </is>
      </c>
      <c r="L42" s="185" t="inlineStr">
        <is>
          <t>11/03/2021</t>
        </is>
      </c>
      <c r="M42" s="185" t="inlineStr">
        <is>
          <t>11/03/2022</t>
        </is>
      </c>
      <c r="N42" s="185" t="inlineStr">
        <is>
          <t>No</t>
        </is>
      </c>
      <c r="O42" s="185" t="inlineStr">
        <is>
          <t>Pass</t>
        </is>
      </c>
      <c r="P42" s="185" t="inlineStr">
        <is>
          <t>Docs Pending</t>
        </is>
      </c>
    </row>
    <row r="43" ht="15.75" customHeight="1" s="126">
      <c r="A43" s="189" t="inlineStr">
        <is>
          <t>CUST10040</t>
        </is>
      </c>
      <c r="B43" s="190" t="inlineStr">
        <is>
          <t>Yuki Tanaka</t>
        </is>
      </c>
      <c r="C43" s="189" t="inlineStr">
        <is>
          <t>12/04/1999</t>
        </is>
      </c>
      <c r="D43" s="189" t="inlineStr">
        <is>
          <t>Japan</t>
        </is>
      </c>
      <c r="E43" s="189" t="inlineStr">
        <is>
          <t>Trust</t>
        </is>
      </c>
      <c r="F43" s="187" t="inlineStr">
        <is>
          <t>Low</t>
        </is>
      </c>
      <c r="G43" s="193" t="inlineStr">
        <is>
          <t>Under Review</t>
        </is>
      </c>
      <c r="H43" s="189" t="inlineStr">
        <is>
          <t>Aadhaar</t>
        </is>
      </c>
      <c r="I43" s="189" t="inlineStr">
        <is>
          <t>XX200273</t>
        </is>
      </c>
      <c r="J43" s="189" t="inlineStr">
        <is>
          <t>28/04/2028</t>
        </is>
      </c>
      <c r="K43" s="189" t="inlineStr">
        <is>
          <t>12/04/2021</t>
        </is>
      </c>
      <c r="L43" s="189" t="inlineStr">
        <is>
          <t>12/04/2022</t>
        </is>
      </c>
      <c r="M43" s="189" t="inlineStr">
        <is>
          <t>12/04/2023</t>
        </is>
      </c>
      <c r="N43" s="189" t="inlineStr">
        <is>
          <t>No</t>
        </is>
      </c>
      <c r="O43" s="189" t="inlineStr">
        <is>
          <t>Pass</t>
        </is>
      </c>
      <c r="P43" s="189" t="inlineStr">
        <is>
          <t>Restricted</t>
        </is>
      </c>
    </row>
    <row r="44" ht="15.75" customHeight="1" s="126">
      <c r="A44" s="185" t="inlineStr">
        <is>
          <t>CUST10041</t>
        </is>
      </c>
      <c r="B44" s="186" t="inlineStr">
        <is>
          <t>Ravi Krishnamurthy</t>
        </is>
      </c>
      <c r="C44" s="185" t="inlineStr">
        <is>
          <t>13/05/1960</t>
        </is>
      </c>
      <c r="D44" s="185" t="inlineStr">
        <is>
          <t>India</t>
        </is>
      </c>
      <c r="E44" s="185" t="inlineStr">
        <is>
          <t>Individual</t>
        </is>
      </c>
      <c r="F44" s="192" t="inlineStr">
        <is>
          <t>Medium</t>
        </is>
      </c>
      <c r="G44" s="188" t="inlineStr">
        <is>
          <t>Verified</t>
        </is>
      </c>
      <c r="H44" s="185" t="inlineStr">
        <is>
          <t>Passport</t>
        </is>
      </c>
      <c r="I44" s="185" t="inlineStr">
        <is>
          <t>XX200280</t>
        </is>
      </c>
      <c r="J44" s="185" t="inlineStr">
        <is>
          <t>28/05/2025</t>
        </is>
      </c>
      <c r="K44" s="185" t="inlineStr">
        <is>
          <t>13/05/2022</t>
        </is>
      </c>
      <c r="L44" s="185" t="inlineStr">
        <is>
          <t>13/05/2023</t>
        </is>
      </c>
      <c r="M44" s="185" t="inlineStr">
        <is>
          <t>12/05/2024</t>
        </is>
      </c>
      <c r="N44" s="185" t="inlineStr">
        <is>
          <t>No</t>
        </is>
      </c>
      <c r="O44" s="185" t="inlineStr">
        <is>
          <t>Pass</t>
        </is>
      </c>
      <c r="P44" s="185" t="inlineStr">
        <is>
          <t>Suspended</t>
        </is>
      </c>
    </row>
    <row r="45" ht="15.75" customHeight="1" s="126">
      <c r="A45" s="189" t="inlineStr">
        <is>
          <t>CUST10042</t>
        </is>
      </c>
      <c r="B45" s="190" t="inlineStr">
        <is>
          <t>Astrid Bergström</t>
        </is>
      </c>
      <c r="C45" s="189" t="inlineStr">
        <is>
          <t>14/06/1961</t>
        </is>
      </c>
      <c r="D45" s="189" t="inlineStr">
        <is>
          <t>Sweden</t>
        </is>
      </c>
      <c r="E45" s="189" t="inlineStr">
        <is>
          <t>Corporate</t>
        </is>
      </c>
      <c r="F45" s="187" t="inlineStr">
        <is>
          <t>Low</t>
        </is>
      </c>
      <c r="G45" s="188" t="inlineStr">
        <is>
          <t>Verified</t>
        </is>
      </c>
      <c r="H45" s="189" t="inlineStr">
        <is>
          <t>NID</t>
        </is>
      </c>
      <c r="I45" s="189" t="inlineStr">
        <is>
          <t>XX200287</t>
        </is>
      </c>
      <c r="J45" s="189" t="inlineStr">
        <is>
          <t>28/06/2026</t>
        </is>
      </c>
      <c r="K45" s="189" t="inlineStr">
        <is>
          <t>14/06/2023</t>
        </is>
      </c>
      <c r="L45" s="189" t="inlineStr">
        <is>
          <t>13/06/2024</t>
        </is>
      </c>
      <c r="M45" s="189" t="inlineStr">
        <is>
          <t>13/06/2025</t>
        </is>
      </c>
      <c r="N45" s="195" t="inlineStr">
        <is>
          <t>Yes</t>
        </is>
      </c>
      <c r="O45" s="189" t="inlineStr">
        <is>
          <t>Pass</t>
        </is>
      </c>
      <c r="P45" s="189" t="inlineStr">
        <is>
          <t>Monitoring</t>
        </is>
      </c>
    </row>
    <row r="46" ht="15.75" customHeight="1" s="126">
      <c r="A46" s="185" t="inlineStr">
        <is>
          <t>CUST10043</t>
        </is>
      </c>
      <c r="B46" s="186" t="inlineStr">
        <is>
          <t>Tariq Al-Hussain</t>
        </is>
      </c>
      <c r="C46" s="185" t="inlineStr">
        <is>
          <t>15/07/1962</t>
        </is>
      </c>
      <c r="D46" s="185" t="inlineStr">
        <is>
          <t>Bahrain</t>
        </is>
      </c>
      <c r="E46" s="185" t="inlineStr">
        <is>
          <t>SME</t>
        </is>
      </c>
      <c r="F46" s="194" t="inlineStr">
        <is>
          <t>High</t>
        </is>
      </c>
      <c r="G46" s="188" t="inlineStr">
        <is>
          <t>Verified</t>
        </is>
      </c>
      <c r="H46" s="185" t="inlineStr">
        <is>
          <t>NRIC</t>
        </is>
      </c>
      <c r="I46" s="185" t="inlineStr">
        <is>
          <t>XX200294</t>
        </is>
      </c>
      <c r="J46" s="185" t="inlineStr">
        <is>
          <t>28/07/2027</t>
        </is>
      </c>
      <c r="K46" s="185" t="inlineStr">
        <is>
          <t>15/07/2018</t>
        </is>
      </c>
      <c r="L46" s="185" t="inlineStr">
        <is>
          <t>15/07/2019</t>
        </is>
      </c>
      <c r="M46" s="185" t="inlineStr">
        <is>
          <t>14/07/2020</t>
        </is>
      </c>
      <c r="N46" s="185" t="inlineStr">
        <is>
          <t>No</t>
        </is>
      </c>
      <c r="O46" s="185" t="inlineStr">
        <is>
          <t>Pass</t>
        </is>
      </c>
      <c r="P46" s="185" t="inlineStr">
        <is>
          <t>Active</t>
        </is>
      </c>
    </row>
    <row r="47" ht="15.75" customHeight="1" s="126">
      <c r="A47" s="189" t="inlineStr">
        <is>
          <t>CUST10044</t>
        </is>
      </c>
      <c r="B47" s="190" t="inlineStr">
        <is>
          <t>Mei-Ling Zhang</t>
        </is>
      </c>
      <c r="C47" s="189" t="inlineStr">
        <is>
          <t>16/08/1963</t>
        </is>
      </c>
      <c r="D47" s="189" t="inlineStr">
        <is>
          <t>China</t>
        </is>
      </c>
      <c r="E47" s="189" t="inlineStr">
        <is>
          <t>Joint</t>
        </is>
      </c>
      <c r="F47" s="192" t="inlineStr">
        <is>
          <t>Medium</t>
        </is>
      </c>
      <c r="G47" s="188" t="inlineStr">
        <is>
          <t>Verified</t>
        </is>
      </c>
      <c r="H47" s="189" t="inlineStr">
        <is>
          <t>CPF</t>
        </is>
      </c>
      <c r="I47" s="189" t="inlineStr">
        <is>
          <t>XX200301</t>
        </is>
      </c>
      <c r="J47" s="189" t="inlineStr">
        <is>
          <t>28/08/2028</t>
        </is>
      </c>
      <c r="K47" s="189" t="inlineStr">
        <is>
          <t>16/08/2019</t>
        </is>
      </c>
      <c r="L47" s="189" t="inlineStr">
        <is>
          <t>15/08/2020</t>
        </is>
      </c>
      <c r="M47" s="189" t="inlineStr">
        <is>
          <t>15/08/2021</t>
        </is>
      </c>
      <c r="N47" s="189" t="inlineStr">
        <is>
          <t>No</t>
        </is>
      </c>
      <c r="O47" s="189" t="inlineStr">
        <is>
          <t>Pass</t>
        </is>
      </c>
      <c r="P47" s="189" t="inlineStr">
        <is>
          <t>Active</t>
        </is>
      </c>
    </row>
    <row r="48" ht="15.75" customHeight="1" s="126">
      <c r="A48" s="185" t="inlineStr">
        <is>
          <t>CUST10045</t>
        </is>
      </c>
      <c r="B48" s="186" t="inlineStr">
        <is>
          <t>Boris Petrov</t>
        </is>
      </c>
      <c r="C48" s="185" t="inlineStr">
        <is>
          <t>17/09/1964</t>
        </is>
      </c>
      <c r="D48" s="185" t="inlineStr">
        <is>
          <t>Russia</t>
        </is>
      </c>
      <c r="E48" s="185" t="inlineStr">
        <is>
          <t>Trust</t>
        </is>
      </c>
      <c r="F48" s="194" t="inlineStr">
        <is>
          <t>High</t>
        </is>
      </c>
      <c r="G48" s="193" t="inlineStr">
        <is>
          <t>Under Review</t>
        </is>
      </c>
      <c r="H48" s="185" t="inlineStr">
        <is>
          <t>My Number</t>
        </is>
      </c>
      <c r="I48" s="185" t="inlineStr">
        <is>
          <t>XX200308</t>
        </is>
      </c>
      <c r="J48" s="185" t="inlineStr">
        <is>
          <t>28/09/2025</t>
        </is>
      </c>
      <c r="K48" s="185" t="inlineStr">
        <is>
          <t>17/09/2020</t>
        </is>
      </c>
      <c r="L48" s="185" t="inlineStr">
        <is>
          <t>17/09/2021</t>
        </is>
      </c>
      <c r="M48" s="185" t="inlineStr">
        <is>
          <t>17/09/2022</t>
        </is>
      </c>
      <c r="N48" s="195" t="inlineStr">
        <is>
          <t>Yes</t>
        </is>
      </c>
      <c r="O48" s="185" t="inlineStr">
        <is>
          <t>Pass</t>
        </is>
      </c>
      <c r="P48" s="185" t="inlineStr">
        <is>
          <t>Active</t>
        </is>
      </c>
    </row>
    <row r="49" ht="15.75" customHeight="1" s="126">
      <c r="A49" s="189" t="inlineStr">
        <is>
          <t>CUST10046</t>
        </is>
      </c>
      <c r="B49" s="190" t="inlineStr">
        <is>
          <t>Chioma Eze</t>
        </is>
      </c>
      <c r="C49" s="189" t="inlineStr">
        <is>
          <t>18/10/1965</t>
        </is>
      </c>
      <c r="D49" s="189" t="inlineStr">
        <is>
          <t>Nigeria</t>
        </is>
      </c>
      <c r="E49" s="189" t="inlineStr">
        <is>
          <t>Individual</t>
        </is>
      </c>
      <c r="F49" s="187" t="inlineStr">
        <is>
          <t>Low</t>
        </is>
      </c>
      <c r="G49" s="196" t="inlineStr">
        <is>
          <t>Pending</t>
        </is>
      </c>
      <c r="H49" s="189" t="inlineStr">
        <is>
          <t>CI</t>
        </is>
      </c>
      <c r="I49" s="189" t="inlineStr">
        <is>
          <t>XX200315</t>
        </is>
      </c>
      <c r="J49" s="189" t="inlineStr">
        <is>
          <t>28/10/2026</t>
        </is>
      </c>
      <c r="K49" s="189" t="inlineStr">
        <is>
          <t>18/10/2021</t>
        </is>
      </c>
      <c r="L49" s="189" t="inlineStr">
        <is>
          <t>18/10/2022</t>
        </is>
      </c>
      <c r="M49" s="189" t="inlineStr">
        <is>
          <t>18/10/2023</t>
        </is>
      </c>
      <c r="N49" s="189" t="inlineStr">
        <is>
          <t>No</t>
        </is>
      </c>
      <c r="O49" s="189" t="inlineStr">
        <is>
          <t>Pass</t>
        </is>
      </c>
      <c r="P49" s="189" t="inlineStr">
        <is>
          <t>Docs Pending</t>
        </is>
      </c>
    </row>
    <row r="50" ht="15.75" customHeight="1" s="126">
      <c r="A50" s="185" t="inlineStr">
        <is>
          <t>CUST10047</t>
        </is>
      </c>
      <c r="B50" s="186" t="inlineStr">
        <is>
          <t>Juan Pablo Reyes</t>
        </is>
      </c>
      <c r="C50" s="185" t="inlineStr">
        <is>
          <t>19/11/1966</t>
        </is>
      </c>
      <c r="D50" s="185" t="inlineStr">
        <is>
          <t>Colombia</t>
        </is>
      </c>
      <c r="E50" s="185" t="inlineStr">
        <is>
          <t>Corporate</t>
        </is>
      </c>
      <c r="F50" s="192" t="inlineStr">
        <is>
          <t>Medium</t>
        </is>
      </c>
      <c r="G50" s="193" t="inlineStr">
        <is>
          <t>Under Review</t>
        </is>
      </c>
      <c r="H50" s="185" t="inlineStr">
        <is>
          <t>Driver's Licence</t>
        </is>
      </c>
      <c r="I50" s="185" t="inlineStr">
        <is>
          <t>XX200322</t>
        </is>
      </c>
      <c r="J50" s="185" t="inlineStr">
        <is>
          <t>28/11/2027</t>
        </is>
      </c>
      <c r="K50" s="185" t="inlineStr">
        <is>
          <t>19/11/2022</t>
        </is>
      </c>
      <c r="L50" s="185" t="inlineStr">
        <is>
          <t>19/11/2023</t>
        </is>
      </c>
      <c r="M50" s="185" t="inlineStr">
        <is>
          <t>18/11/2024</t>
        </is>
      </c>
      <c r="N50" s="185" t="inlineStr">
        <is>
          <t>No</t>
        </is>
      </c>
      <c r="O50" s="185" t="inlineStr">
        <is>
          <t>Pass</t>
        </is>
      </c>
      <c r="P50" s="185" t="inlineStr">
        <is>
          <t>Restricted</t>
        </is>
      </c>
    </row>
    <row r="51" ht="15.75" customHeight="1" s="126">
      <c r="A51" s="189" t="inlineStr">
        <is>
          <t>CUST10048</t>
        </is>
      </c>
      <c r="B51" s="190" t="inlineStr">
        <is>
          <t>Natasha Romanova</t>
        </is>
      </c>
      <c r="C51" s="189" t="inlineStr">
        <is>
          <t>20/12/1967</t>
        </is>
      </c>
      <c r="D51" s="189" t="inlineStr">
        <is>
          <t>Russia</t>
        </is>
      </c>
      <c r="E51" s="189" t="inlineStr">
        <is>
          <t>SME</t>
        </is>
      </c>
      <c r="F51" s="194" t="inlineStr">
        <is>
          <t>High</t>
        </is>
      </c>
      <c r="G51" s="191" t="inlineStr">
        <is>
          <t>Expired</t>
        </is>
      </c>
      <c r="H51" s="189" t="inlineStr">
        <is>
          <t>Aadhaar</t>
        </is>
      </c>
      <c r="I51" s="189" t="inlineStr">
        <is>
          <t>XX200329</t>
        </is>
      </c>
      <c r="J51" s="189" t="inlineStr">
        <is>
          <t>28/12/2028</t>
        </is>
      </c>
      <c r="K51" s="189" t="inlineStr">
        <is>
          <t>20/12/2023</t>
        </is>
      </c>
      <c r="L51" s="189" t="inlineStr">
        <is>
          <t>19/12/2024</t>
        </is>
      </c>
      <c r="M51" s="189" t="inlineStr">
        <is>
          <t>19/12/2025</t>
        </is>
      </c>
      <c r="N51" s="189" t="inlineStr">
        <is>
          <t>No</t>
        </is>
      </c>
      <c r="O51" s="189" t="inlineStr">
        <is>
          <t>Pass</t>
        </is>
      </c>
      <c r="P51" s="189" t="inlineStr">
        <is>
          <t>Suspended</t>
        </is>
      </c>
    </row>
    <row r="52" ht="15.75" customHeight="1" s="126">
      <c r="A52" s="185" t="inlineStr">
        <is>
          <t>CUST10049</t>
        </is>
      </c>
      <c r="B52" s="186" t="inlineStr">
        <is>
          <t>Suresh Iyer</t>
        </is>
      </c>
      <c r="C52" s="185" t="inlineStr">
        <is>
          <t>21/01/1968</t>
        </is>
      </c>
      <c r="D52" s="185" t="inlineStr">
        <is>
          <t>India</t>
        </is>
      </c>
      <c r="E52" s="185" t="inlineStr">
        <is>
          <t>Joint</t>
        </is>
      </c>
      <c r="F52" s="187" t="inlineStr">
        <is>
          <t>Low</t>
        </is>
      </c>
      <c r="G52" s="188" t="inlineStr">
        <is>
          <t>Verified</t>
        </is>
      </c>
      <c r="H52" s="185" t="inlineStr">
        <is>
          <t>Passport</t>
        </is>
      </c>
      <c r="I52" s="185" t="inlineStr">
        <is>
          <t>XX200336</t>
        </is>
      </c>
      <c r="J52" s="185" t="inlineStr">
        <is>
          <t>28/01/2025</t>
        </is>
      </c>
      <c r="K52" s="185" t="inlineStr">
        <is>
          <t>21/01/2018</t>
        </is>
      </c>
      <c r="L52" s="185" t="inlineStr">
        <is>
          <t>21/01/2019</t>
        </is>
      </c>
      <c r="M52" s="185" t="inlineStr">
        <is>
          <t>21/01/2020</t>
        </is>
      </c>
      <c r="N52" s="185" t="inlineStr">
        <is>
          <t>No</t>
        </is>
      </c>
      <c r="O52" s="185" t="inlineStr">
        <is>
          <t>Pass</t>
        </is>
      </c>
      <c r="P52" s="185" t="inlineStr">
        <is>
          <t>Monitoring</t>
        </is>
      </c>
    </row>
    <row r="53" ht="15.75" customHeight="1" s="126">
      <c r="A53" s="189" t="inlineStr">
        <is>
          <t>CUST10050</t>
        </is>
      </c>
      <c r="B53" s="190" t="inlineStr">
        <is>
          <t>Olga Koroleva</t>
        </is>
      </c>
      <c r="C53" s="189" t="inlineStr">
        <is>
          <t>22/02/1969</t>
        </is>
      </c>
      <c r="D53" s="189" t="inlineStr">
        <is>
          <t>Russia</t>
        </is>
      </c>
      <c r="E53" s="189" t="inlineStr">
        <is>
          <t>Trust</t>
        </is>
      </c>
      <c r="F53" s="192" t="inlineStr">
        <is>
          <t>Medium</t>
        </is>
      </c>
      <c r="G53" s="188" t="inlineStr">
        <is>
          <t>Verified</t>
        </is>
      </c>
      <c r="H53" s="189" t="inlineStr">
        <is>
          <t>NID</t>
        </is>
      </c>
      <c r="I53" s="189" t="inlineStr">
        <is>
          <t>XX200343</t>
        </is>
      </c>
      <c r="J53" s="189" t="inlineStr">
        <is>
          <t>28/02/2026</t>
        </is>
      </c>
      <c r="K53" s="189" t="inlineStr">
        <is>
          <t>22/02/2019</t>
        </is>
      </c>
      <c r="L53" s="189" t="inlineStr">
        <is>
          <t>22/02/2020</t>
        </is>
      </c>
      <c r="M53" s="189" t="inlineStr">
        <is>
          <t>21/02/2021</t>
        </is>
      </c>
      <c r="N53" s="189" t="inlineStr">
        <is>
          <t>No</t>
        </is>
      </c>
      <c r="O53" s="189" t="inlineStr">
        <is>
          <t>Pass</t>
        </is>
      </c>
      <c r="P53" s="189" t="inlineStr">
        <is>
          <t>Active</t>
        </is>
      </c>
    </row>
    <row r="56" ht="19.5" customHeight="1" s="126">
      <c r="A56" s="197" t="inlineStr">
        <is>
          <t>KYC STATUS SUMMARY (50 customers)</t>
        </is>
      </c>
    </row>
    <row r="57" ht="18" customHeight="1" s="126">
      <c r="A57" s="198" t="inlineStr">
        <is>
          <t>Verified</t>
        </is>
      </c>
      <c r="B57" s="199" t="n"/>
      <c r="C57" s="199" t="n"/>
      <c r="D57" s="200">
        <f>COUNTIF(G4:G53,"Verified")</f>
        <v/>
      </c>
    </row>
    <row r="58" ht="18" customHeight="1" s="126">
      <c r="A58" s="201" t="inlineStr">
        <is>
          <t>Pending</t>
        </is>
      </c>
      <c r="B58" s="199" t="n"/>
      <c r="C58" s="199" t="n"/>
      <c r="D58" s="202">
        <f>COUNTIF(G4:G53,"Pending")</f>
        <v/>
      </c>
    </row>
    <row r="59" ht="18" customHeight="1" s="126">
      <c r="A59" s="203" t="inlineStr">
        <is>
          <t>Under Review</t>
        </is>
      </c>
      <c r="B59" s="199" t="n"/>
      <c r="C59" s="199" t="n"/>
      <c r="D59" s="204">
        <f>COUNTIF(G4:G53,"Under Review")</f>
        <v/>
      </c>
    </row>
    <row r="60" ht="18" customHeight="1" s="126">
      <c r="A60" s="205" t="inlineStr">
        <is>
          <t>Expired</t>
        </is>
      </c>
      <c r="B60" s="199" t="n"/>
      <c r="C60" s="199" t="n"/>
      <c r="D60" s="206">
        <f>COUNTIF(G4:G53,"Expired")</f>
        <v/>
      </c>
    </row>
    <row r="61" ht="18" customHeight="1" s="126">
      <c r="A61" s="207" t="inlineStr">
        <is>
          <t>PEP Customers</t>
        </is>
      </c>
      <c r="B61" s="199" t="n"/>
      <c r="C61" s="199" t="n"/>
      <c r="D61" s="208">
        <f>COUNTIF(N4:N53,"Yes")</f>
        <v/>
      </c>
    </row>
    <row r="62" ht="18" customHeight="1" s="126">
      <c r="A62" s="205" t="inlineStr">
        <is>
          <t>Sanctions Fail</t>
        </is>
      </c>
      <c r="B62" s="199" t="n"/>
      <c r="C62" s="199" t="n"/>
      <c r="D62" s="206">
        <f>COUNTIF(O4:O53,"Fail")</f>
        <v/>
      </c>
    </row>
  </sheetData>
  <mergeCells count="9">
    <mergeCell ref="A60:C60"/>
    <mergeCell ref="A56:D56"/>
    <mergeCell ref="A61:C61"/>
    <mergeCell ref="A58:C58"/>
    <mergeCell ref="A2:Q2"/>
    <mergeCell ref="A62:C62"/>
    <mergeCell ref="A59:C59"/>
    <mergeCell ref="A57:C57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25" min="1" max="1"/>
    <col width="10" customWidth="1" style="125" min="2" max="2"/>
    <col width="12" customWidth="1" style="125" min="3" max="3"/>
    <col width="25" customWidth="1" style="125" min="4" max="4"/>
    <col width="16" customWidth="1" style="125" min="5" max="5"/>
    <col width="10" customWidth="1" style="125" min="6" max="6"/>
    <col width="11" customWidth="1" style="125" min="7" max="7"/>
    <col width="10" customWidth="1" style="125" min="8" max="8"/>
    <col width="15" customWidth="1" style="125" min="9" max="9"/>
    <col width="16" customWidth="1" style="125" min="10" max="10"/>
    <col width="10" customWidth="1" style="125" min="11" max="11"/>
    <col width="30" customWidth="1" style="125" min="12" max="12"/>
    <col width="12" customWidth="1" style="125" min="13" max="13"/>
    <col width="20" customWidth="1" style="125" min="14" max="14"/>
    <col width="12" customWidth="1" style="125" min="15" max="15"/>
  </cols>
  <sheetData>
    <row r="1" ht="39.75" customHeight="1" s="126">
      <c r="A1" s="209" t="inlineStr">
        <is>
          <t>AML ALERT MANAGEMENT  |  50 Alert Records</t>
        </is>
      </c>
    </row>
    <row r="2" ht="18" customHeight="1" s="126">
      <c r="A2" s="210" t="inlineStr">
        <is>
          <t>Suspicious Transaction Alerts — Detection, Investigation &amp; Disposition</t>
        </is>
      </c>
    </row>
    <row r="3" ht="19.5" customHeight="1" s="126">
      <c r="A3" s="211" t="inlineStr">
        <is>
          <t>Alert ID</t>
        </is>
      </c>
      <c r="B3" s="211" t="inlineStr">
        <is>
          <t>Cust ID</t>
        </is>
      </c>
      <c r="C3" s="211" t="inlineStr">
        <is>
          <t>Alert Date</t>
        </is>
      </c>
      <c r="D3" s="211" t="inlineStr">
        <is>
          <t>Alert Type</t>
        </is>
      </c>
      <c r="E3" s="211" t="inlineStr">
        <is>
          <t>Transaction Amt</t>
        </is>
      </c>
      <c r="F3" s="211" t="inlineStr">
        <is>
          <t>Currency</t>
        </is>
      </c>
      <c r="G3" s="211" t="inlineStr">
        <is>
          <t>Risk Score</t>
        </is>
      </c>
      <c r="H3" s="211" t="inlineStr">
        <is>
          <t>Priority</t>
        </is>
      </c>
      <c r="I3" s="211" t="inlineStr">
        <is>
          <t>Assigned To</t>
        </is>
      </c>
      <c r="J3" s="211" t="inlineStr">
        <is>
          <t>Status</t>
        </is>
      </c>
      <c r="K3" s="211" t="inlineStr">
        <is>
          <t>Days Open</t>
        </is>
      </c>
      <c r="L3" s="211" t="inlineStr">
        <is>
          <t>Investigation Notes</t>
        </is>
      </c>
      <c r="M3" s="211" t="inlineStr">
        <is>
          <t>SAR Filed</t>
        </is>
      </c>
      <c r="N3" s="211" t="inlineStr">
        <is>
          <t>Resolution</t>
        </is>
      </c>
      <c r="O3" s="211" t="inlineStr">
        <is>
          <t>Closed Date</t>
        </is>
      </c>
    </row>
    <row r="4" ht="18" customHeight="1" s="126">
      <c r="A4" s="185" t="inlineStr">
        <is>
          <t>ALT20001</t>
        </is>
      </c>
      <c r="B4" s="185" t="inlineStr">
        <is>
          <t>CUST10001</t>
        </is>
      </c>
      <c r="C4" s="185" t="inlineStr">
        <is>
          <t>07/01/2024</t>
        </is>
      </c>
      <c r="D4" s="185" t="inlineStr">
        <is>
          <t>Structuring</t>
        </is>
      </c>
      <c r="E4" s="185" t="n">
        <v>100000</v>
      </c>
      <c r="F4" s="185" t="inlineStr">
        <is>
          <t>USD</t>
        </is>
      </c>
      <c r="G4" s="192" t="n">
        <v>84</v>
      </c>
      <c r="H4" s="192" t="inlineStr">
        <is>
          <t>High</t>
        </is>
      </c>
      <c r="I4" s="185" t="inlineStr">
        <is>
          <t>A. Kumar</t>
        </is>
      </c>
      <c r="J4" s="191" t="inlineStr">
        <is>
          <t>Open</t>
        </is>
      </c>
      <c r="K4" s="185" t="n">
        <v>884</v>
      </c>
      <c r="L4" s="212" t="inlineStr">
        <is>
          <t>Reviewing transaction pattern</t>
        </is>
      </c>
      <c r="M4" s="185" t="inlineStr">
        <is>
          <t>No</t>
        </is>
      </c>
      <c r="N4" s="185" t="inlineStr">
        <is>
          <t>Pending</t>
        </is>
      </c>
      <c r="O4" s="185" t="n"/>
    </row>
    <row r="5" ht="18" customHeight="1" s="126">
      <c r="A5" s="189" t="inlineStr">
        <is>
          <t>ALT20002</t>
        </is>
      </c>
      <c r="B5" s="189" t="inlineStr">
        <is>
          <t>CUST10002</t>
        </is>
      </c>
      <c r="C5" s="189" t="inlineStr">
        <is>
          <t>10/02/2024</t>
        </is>
      </c>
      <c r="D5" s="189" t="inlineStr">
        <is>
          <t>Unusual Wire Transfer</t>
        </is>
      </c>
      <c r="E5" s="189" t="n">
        <v>55000</v>
      </c>
      <c r="F5" s="189" t="inlineStr">
        <is>
          <t>EUR</t>
        </is>
      </c>
      <c r="G5" s="192" t="n">
        <v>87</v>
      </c>
      <c r="H5" s="192" t="inlineStr">
        <is>
          <t>High</t>
        </is>
      </c>
      <c r="I5" s="189" t="inlineStr">
        <is>
          <t>S. Patel</t>
        </is>
      </c>
      <c r="J5" s="196" t="inlineStr">
        <is>
          <t>Under Review</t>
        </is>
      </c>
      <c r="K5" s="189" t="n">
        <v>852</v>
      </c>
      <c r="L5" s="213" t="inlineStr">
        <is>
          <t>Documentation requested from customer</t>
        </is>
      </c>
      <c r="M5" s="189" t="inlineStr">
        <is>
          <t>No</t>
        </is>
      </c>
      <c r="N5" s="189" t="inlineStr">
        <is>
          <t>In Progress</t>
        </is>
      </c>
      <c r="O5" s="189" t="n"/>
    </row>
    <row r="6" ht="18" customHeight="1" s="126">
      <c r="A6" s="185" t="inlineStr">
        <is>
          <t>ALT20003</t>
        </is>
      </c>
      <c r="B6" s="185" t="inlineStr">
        <is>
          <t>CUST10003</t>
        </is>
      </c>
      <c r="C6" s="185" t="inlineStr">
        <is>
          <t>13/02/2024</t>
        </is>
      </c>
      <c r="D6" s="185" t="inlineStr">
        <is>
          <t>Cash Threshold</t>
        </is>
      </c>
      <c r="E6" s="185" t="n">
        <v>6000</v>
      </c>
      <c r="F6" s="185" t="inlineStr">
        <is>
          <t>GBP</t>
        </is>
      </c>
      <c r="G6" s="187" t="n">
        <v>61</v>
      </c>
      <c r="H6" s="214" t="inlineStr">
        <is>
          <t>Medium</t>
        </is>
      </c>
      <c r="I6" s="185" t="inlineStr">
        <is>
          <t>M. Ali</t>
        </is>
      </c>
      <c r="J6" s="191" t="inlineStr">
        <is>
          <t>Escalated</t>
        </is>
      </c>
      <c r="K6" s="185" t="n">
        <v>822</v>
      </c>
      <c r="L6" s="212" t="inlineStr">
        <is>
          <t>Escalated to MLRO for decision</t>
        </is>
      </c>
      <c r="M6" s="185" t="inlineStr">
        <is>
          <t>No</t>
        </is>
      </c>
      <c r="N6" s="185" t="inlineStr">
        <is>
          <t>SAR Filed</t>
        </is>
      </c>
      <c r="O6" s="185" t="n"/>
    </row>
    <row r="7" ht="18" customHeight="1" s="126">
      <c r="A7" s="189" t="inlineStr">
        <is>
          <t>ALT20004</t>
        </is>
      </c>
      <c r="B7" s="189" t="inlineStr">
        <is>
          <t>CUST10004</t>
        </is>
      </c>
      <c r="C7" s="189" t="inlineStr">
        <is>
          <t>21/02/2024</t>
        </is>
      </c>
      <c r="D7" s="189" t="inlineStr">
        <is>
          <t>Rapid Movement</t>
        </is>
      </c>
      <c r="E7" s="189" t="n">
        <v>6000</v>
      </c>
      <c r="F7" s="189" t="inlineStr">
        <is>
          <t>AED</t>
        </is>
      </c>
      <c r="G7" s="194" t="n">
        <v>93</v>
      </c>
      <c r="H7" s="192" t="inlineStr">
        <is>
          <t>High</t>
        </is>
      </c>
      <c r="I7" s="189" t="inlineStr">
        <is>
          <t>R. Chen</t>
        </is>
      </c>
      <c r="J7" s="188" t="inlineStr">
        <is>
          <t>Closed - SAR</t>
        </is>
      </c>
      <c r="K7" s="189" t="n">
        <v>27</v>
      </c>
      <c r="L7" s="213" t="inlineStr">
        <is>
          <t>SAR filed to FIU — awaiting feedback</t>
        </is>
      </c>
      <c r="M7" s="189" t="inlineStr">
        <is>
          <t>Yes</t>
        </is>
      </c>
      <c r="N7" s="189" t="inlineStr">
        <is>
          <t>Case Closed</t>
        </is>
      </c>
      <c r="O7" s="189" t="inlineStr">
        <is>
          <t>09/03/2024</t>
        </is>
      </c>
    </row>
    <row r="8" ht="18" customHeight="1" s="126">
      <c r="A8" s="185" t="inlineStr">
        <is>
          <t>ALT20005</t>
        </is>
      </c>
      <c r="B8" s="185" t="inlineStr">
        <is>
          <t>CUST10005</t>
        </is>
      </c>
      <c r="C8" s="185" t="inlineStr">
        <is>
          <t>22/02/2024</t>
        </is>
      </c>
      <c r="D8" s="185" t="inlineStr">
        <is>
          <t>Dormant Reactivation</t>
        </is>
      </c>
      <c r="E8" s="185" t="n">
        <v>12500</v>
      </c>
      <c r="F8" s="185" t="inlineStr">
        <is>
          <t>INR</t>
        </is>
      </c>
      <c r="G8" s="187" t="n">
        <v>65</v>
      </c>
      <c r="H8" s="214" t="inlineStr">
        <is>
          <t>Medium</t>
        </is>
      </c>
      <c r="I8" s="185" t="inlineStr">
        <is>
          <t>J. Smith</t>
        </is>
      </c>
      <c r="J8" s="188" t="inlineStr">
        <is>
          <t>Closed - No Action</t>
        </is>
      </c>
      <c r="K8" s="185" t="n">
        <v>5</v>
      </c>
      <c r="L8" s="212" t="inlineStr">
        <is>
          <t>Normal business activity confirmed</t>
        </is>
      </c>
      <c r="M8" s="185" t="inlineStr">
        <is>
          <t>No</t>
        </is>
      </c>
      <c r="N8" s="185" t="inlineStr">
        <is>
          <t>No Action Required</t>
        </is>
      </c>
      <c r="O8" s="185" t="inlineStr">
        <is>
          <t>10/03/2024</t>
        </is>
      </c>
    </row>
    <row r="9" ht="18" customHeight="1" s="126">
      <c r="A9" s="189" t="inlineStr">
        <is>
          <t>ALT20006</t>
        </is>
      </c>
      <c r="B9" s="189" t="inlineStr">
        <is>
          <t>CUST10006</t>
        </is>
      </c>
      <c r="C9" s="189" t="inlineStr">
        <is>
          <t>24/02/2024</t>
        </is>
      </c>
      <c r="D9" s="189" t="inlineStr">
        <is>
          <t>High-Risk Jurisdiction</t>
        </is>
      </c>
      <c r="E9" s="189" t="n">
        <v>200000</v>
      </c>
      <c r="F9" s="189" t="inlineStr">
        <is>
          <t>SGD</t>
        </is>
      </c>
      <c r="G9" s="192" t="n">
        <v>86</v>
      </c>
      <c r="H9" s="192" t="inlineStr">
        <is>
          <t>High</t>
        </is>
      </c>
      <c r="I9" s="189" t="inlineStr">
        <is>
          <t>L. Wang</t>
        </is>
      </c>
      <c r="J9" s="196" t="inlineStr">
        <is>
          <t>Pending Info</t>
        </is>
      </c>
      <c r="K9" s="189" t="n">
        <v>727</v>
      </c>
      <c r="L9" s="213" t="inlineStr">
        <is>
          <t>Awaiting customer response to query</t>
        </is>
      </c>
      <c r="M9" s="189" t="inlineStr">
        <is>
          <t>No</t>
        </is>
      </c>
      <c r="N9" s="189" t="inlineStr">
        <is>
          <t>Pending Documents</t>
        </is>
      </c>
      <c r="O9" s="189" t="n"/>
    </row>
    <row r="10" ht="18" customHeight="1" s="126">
      <c r="A10" s="185" t="inlineStr">
        <is>
          <t>ALT20007</t>
        </is>
      </c>
      <c r="B10" s="185" t="inlineStr">
        <is>
          <t>CUST10007</t>
        </is>
      </c>
      <c r="C10" s="185" t="inlineStr">
        <is>
          <t>28/02/2024</t>
        </is>
      </c>
      <c r="D10" s="185" t="inlineStr">
        <is>
          <t>PEP Transaction</t>
        </is>
      </c>
      <c r="E10" s="185" t="n">
        <v>48500</v>
      </c>
      <c r="F10" s="185" t="inlineStr">
        <is>
          <t>USD</t>
        </is>
      </c>
      <c r="G10" s="192" t="n">
        <v>78</v>
      </c>
      <c r="H10" s="194" t="inlineStr">
        <is>
          <t>Critical</t>
        </is>
      </c>
      <c r="I10" s="185" t="inlineStr">
        <is>
          <t>P. Nair</t>
        </is>
      </c>
      <c r="J10" s="191" t="inlineStr">
        <is>
          <t>Critical - Escalated</t>
        </is>
      </c>
      <c r="K10" s="185" t="n">
        <v>696</v>
      </c>
      <c r="L10" s="212" t="inlineStr">
        <is>
          <t>PEP ongoing verification</t>
        </is>
      </c>
      <c r="M10" s="185" t="inlineStr">
        <is>
          <t>No</t>
        </is>
      </c>
      <c r="N10" s="185" t="inlineStr">
        <is>
          <t>Referred to Authorities</t>
        </is>
      </c>
      <c r="O10" s="185" t="n"/>
    </row>
    <row r="11" ht="18" customHeight="1" s="126">
      <c r="A11" s="189" t="inlineStr">
        <is>
          <t>ALT20008</t>
        </is>
      </c>
      <c r="B11" s="189" t="inlineStr">
        <is>
          <t>CUST10008</t>
        </is>
      </c>
      <c r="C11" s="189" t="inlineStr">
        <is>
          <t>22/03/2024</t>
        </is>
      </c>
      <c r="D11" s="189" t="inlineStr">
        <is>
          <t>Sanctions Match</t>
        </is>
      </c>
      <c r="E11" s="189" t="n">
        <v>150000</v>
      </c>
      <c r="F11" s="189" t="inlineStr">
        <is>
          <t>EUR</t>
        </is>
      </c>
      <c r="G11" s="187" t="n">
        <v>58</v>
      </c>
      <c r="H11" s="194" t="inlineStr">
        <is>
          <t>Critical</t>
        </is>
      </c>
      <c r="I11" s="189" t="inlineStr">
        <is>
          <t>F. Ahmed</t>
        </is>
      </c>
      <c r="J11" s="191" t="inlineStr">
        <is>
          <t>Open</t>
        </is>
      </c>
      <c r="K11" s="189" t="n">
        <v>664</v>
      </c>
      <c r="L11" s="213" t="inlineStr">
        <is>
          <t>Sanctions list cross-checked</t>
        </is>
      </c>
      <c r="M11" s="189" t="inlineStr">
        <is>
          <t>No</t>
        </is>
      </c>
      <c r="N11" s="189" t="inlineStr">
        <is>
          <t>Cleared</t>
        </is>
      </c>
      <c r="O11" s="189" t="n"/>
    </row>
    <row r="12" ht="18" customHeight="1" s="126">
      <c r="A12" s="185" t="inlineStr">
        <is>
          <t>ALT20009</t>
        </is>
      </c>
      <c r="B12" s="185" t="inlineStr">
        <is>
          <t>CUST10009</t>
        </is>
      </c>
      <c r="C12" s="185" t="inlineStr">
        <is>
          <t>24/03/2024</t>
        </is>
      </c>
      <c r="D12" s="185" t="inlineStr">
        <is>
          <t>Round-Dollar Amounts</t>
        </is>
      </c>
      <c r="E12" s="185" t="n">
        <v>110000</v>
      </c>
      <c r="F12" s="185" t="inlineStr">
        <is>
          <t>GBP</t>
        </is>
      </c>
      <c r="G12" s="187" t="n">
        <v>60</v>
      </c>
      <c r="H12" s="214" t="inlineStr">
        <is>
          <t>Medium</t>
        </is>
      </c>
      <c r="I12" s="185" t="inlineStr">
        <is>
          <t>T. Obi</t>
        </is>
      </c>
      <c r="J12" s="196" t="inlineStr">
        <is>
          <t>Under Review</t>
        </is>
      </c>
      <c r="K12" s="185" t="n">
        <v>632</v>
      </c>
      <c r="L12" s="212" t="inlineStr">
        <is>
          <t>Pattern analysis completed</t>
        </is>
      </c>
      <c r="M12" s="185" t="inlineStr">
        <is>
          <t>No</t>
        </is>
      </c>
      <c r="N12" s="185" t="inlineStr">
        <is>
          <t>SAR Submitted</t>
        </is>
      </c>
      <c r="O12" s="185" t="n"/>
    </row>
    <row r="13" ht="18" customHeight="1" s="126">
      <c r="A13" s="189" t="inlineStr">
        <is>
          <t>ALT20010</t>
        </is>
      </c>
      <c r="B13" s="189" t="inlineStr">
        <is>
          <t>CUST10010</t>
        </is>
      </c>
      <c r="C13" s="189" t="inlineStr">
        <is>
          <t>10/04/2024</t>
        </is>
      </c>
      <c r="D13" s="189" t="inlineStr">
        <is>
          <t>Velocity Alert</t>
        </is>
      </c>
      <c r="E13" s="189" t="n">
        <v>175000</v>
      </c>
      <c r="F13" s="189" t="inlineStr">
        <is>
          <t>AED</t>
        </is>
      </c>
      <c r="G13" s="187" t="n">
        <v>59</v>
      </c>
      <c r="H13" s="187" t="inlineStr">
        <is>
          <t>Low</t>
        </is>
      </c>
      <c r="I13" s="189" t="inlineStr">
        <is>
          <t>Head AML</t>
        </is>
      </c>
      <c r="J13" s="191" t="inlineStr">
        <is>
          <t>Escalated</t>
        </is>
      </c>
      <c r="K13" s="189" t="n">
        <v>601</v>
      </c>
      <c r="L13" s="213" t="inlineStr">
        <is>
          <t>New alert raised — monitoring</t>
        </is>
      </c>
      <c r="M13" s="189" t="inlineStr">
        <is>
          <t>No</t>
        </is>
      </c>
      <c r="N13" s="189" t="inlineStr">
        <is>
          <t>Monitoring</t>
        </is>
      </c>
      <c r="O13" s="189" t="n"/>
    </row>
    <row r="14" ht="18" customHeight="1" s="126">
      <c r="A14" s="185" t="inlineStr">
        <is>
          <t>ALT20011</t>
        </is>
      </c>
      <c r="B14" s="185" t="inlineStr">
        <is>
          <t>CUST10011</t>
        </is>
      </c>
      <c r="C14" s="185" t="inlineStr">
        <is>
          <t>16/04/2024</t>
        </is>
      </c>
      <c r="D14" s="185" t="inlineStr">
        <is>
          <t>Layering</t>
        </is>
      </c>
      <c r="E14" s="185" t="n">
        <v>175000</v>
      </c>
      <c r="F14" s="185" t="inlineStr">
        <is>
          <t>INR</t>
        </is>
      </c>
      <c r="G14" s="194" t="n">
        <v>90</v>
      </c>
      <c r="H14" s="192" t="inlineStr">
        <is>
          <t>High</t>
        </is>
      </c>
      <c r="I14" s="185" t="inlineStr">
        <is>
          <t>A. Kumar</t>
        </is>
      </c>
      <c r="J14" s="188" t="inlineStr">
        <is>
          <t>Closed - SAR</t>
        </is>
      </c>
      <c r="K14" s="185" t="n">
        <v>5</v>
      </c>
      <c r="L14" s="212" t="inlineStr">
        <is>
          <t>Unusual cross-border movement</t>
        </is>
      </c>
      <c r="M14" s="185" t="inlineStr">
        <is>
          <t>Yes</t>
        </is>
      </c>
      <c r="N14" s="185" t="inlineStr">
        <is>
          <t>Pending</t>
        </is>
      </c>
      <c r="O14" s="185" t="inlineStr">
        <is>
          <t>10/05/2024</t>
        </is>
      </c>
    </row>
    <row r="15" ht="18" customHeight="1" s="126">
      <c r="A15" s="189" t="inlineStr">
        <is>
          <t>ALT20012</t>
        </is>
      </c>
      <c r="B15" s="189" t="inlineStr">
        <is>
          <t>CUST10012</t>
        </is>
      </c>
      <c r="C15" s="189" t="inlineStr">
        <is>
          <t>24/04/2024</t>
        </is>
      </c>
      <c r="D15" s="189" t="inlineStr">
        <is>
          <t>Integration</t>
        </is>
      </c>
      <c r="E15" s="189" t="n">
        <v>6000</v>
      </c>
      <c r="F15" s="189" t="inlineStr">
        <is>
          <t>SGD</t>
        </is>
      </c>
      <c r="G15" s="194" t="n">
        <v>93</v>
      </c>
      <c r="H15" s="192" t="inlineStr">
        <is>
          <t>High</t>
        </is>
      </c>
      <c r="I15" s="189" t="inlineStr">
        <is>
          <t>S. Patel</t>
        </is>
      </c>
      <c r="J15" s="188" t="inlineStr">
        <is>
          <t>Closed - No Action</t>
        </is>
      </c>
      <c r="K15" s="189" t="n">
        <v>9</v>
      </c>
      <c r="L15" s="213" t="inlineStr">
        <is>
          <t>Cash deposits inconsistent with profile</t>
        </is>
      </c>
      <c r="M15" s="189" t="inlineStr">
        <is>
          <t>Yes</t>
        </is>
      </c>
      <c r="N15" s="189" t="inlineStr">
        <is>
          <t>In Progress</t>
        </is>
      </c>
      <c r="O15" s="189" t="inlineStr">
        <is>
          <t>13/05/2024</t>
        </is>
      </c>
    </row>
    <row r="16" ht="18" customHeight="1" s="126">
      <c r="A16" s="185" t="inlineStr">
        <is>
          <t>ALT20013</t>
        </is>
      </c>
      <c r="B16" s="185" t="inlineStr">
        <is>
          <t>CUST10013</t>
        </is>
      </c>
      <c r="C16" s="185" t="inlineStr">
        <is>
          <t>02/05/2024</t>
        </is>
      </c>
      <c r="D16" s="185" t="inlineStr">
        <is>
          <t>Smurfing</t>
        </is>
      </c>
      <c r="E16" s="185" t="n">
        <v>32000</v>
      </c>
      <c r="F16" s="185" t="inlineStr">
        <is>
          <t>USD</t>
        </is>
      </c>
      <c r="G16" s="192" t="n">
        <v>89</v>
      </c>
      <c r="H16" s="214" t="inlineStr">
        <is>
          <t>Medium</t>
        </is>
      </c>
      <c r="I16" s="185" t="inlineStr">
        <is>
          <t>M. Ali</t>
        </is>
      </c>
      <c r="J16" s="196" t="inlineStr">
        <is>
          <t>Pending Info</t>
        </is>
      </c>
      <c r="K16" s="185" t="n">
        <v>872</v>
      </c>
      <c r="L16" s="212" t="inlineStr">
        <is>
          <t>Wire transfer to high-risk jurisdiction</t>
        </is>
      </c>
      <c r="M16" s="185" t="inlineStr">
        <is>
          <t>No</t>
        </is>
      </c>
      <c r="N16" s="185" t="inlineStr">
        <is>
          <t>SAR Filed</t>
        </is>
      </c>
      <c r="O16" s="185" t="n"/>
    </row>
    <row r="17" ht="18" customHeight="1" s="126">
      <c r="A17" s="189" t="inlineStr">
        <is>
          <t>ALT20014</t>
        </is>
      </c>
      <c r="B17" s="189" t="inlineStr">
        <is>
          <t>CUST10014</t>
        </is>
      </c>
      <c r="C17" s="189" t="inlineStr">
        <is>
          <t>07/05/2024</t>
        </is>
      </c>
      <c r="D17" s="189" t="inlineStr">
        <is>
          <t>Cyber Fraud</t>
        </is>
      </c>
      <c r="E17" s="189" t="n">
        <v>8500</v>
      </c>
      <c r="F17" s="189" t="inlineStr">
        <is>
          <t>EUR</t>
        </is>
      </c>
      <c r="G17" s="192" t="n">
        <v>80</v>
      </c>
      <c r="H17" s="192" t="inlineStr">
        <is>
          <t>High</t>
        </is>
      </c>
      <c r="I17" s="189" t="inlineStr">
        <is>
          <t>R. Chen</t>
        </is>
      </c>
      <c r="J17" s="191" t="inlineStr">
        <is>
          <t>Critical - Escalated</t>
        </is>
      </c>
      <c r="K17" s="189" t="n">
        <v>840</v>
      </c>
      <c r="L17" s="213" t="inlineStr">
        <is>
          <t>Round-tripping detected</t>
        </is>
      </c>
      <c r="M17" s="189" t="inlineStr">
        <is>
          <t>No</t>
        </is>
      </c>
      <c r="N17" s="189" t="inlineStr">
        <is>
          <t>Case Closed</t>
        </is>
      </c>
      <c r="O17" s="189" t="n"/>
    </row>
    <row r="18" ht="18" customHeight="1" s="126">
      <c r="A18" s="185" t="inlineStr">
        <is>
          <t>ALT20015</t>
        </is>
      </c>
      <c r="B18" s="185" t="inlineStr">
        <is>
          <t>CUST10015</t>
        </is>
      </c>
      <c r="C18" s="185" t="inlineStr">
        <is>
          <t>15/05/2024</t>
        </is>
      </c>
      <c r="D18" s="185" t="inlineStr">
        <is>
          <t>Tax Evasion Indicator</t>
        </is>
      </c>
      <c r="E18" s="185" t="n">
        <v>42000</v>
      </c>
      <c r="F18" s="185" t="inlineStr">
        <is>
          <t>GBP</t>
        </is>
      </c>
      <c r="G18" s="192" t="n">
        <v>88</v>
      </c>
      <c r="H18" s="214" t="inlineStr">
        <is>
          <t>Medium</t>
        </is>
      </c>
      <c r="I18" s="185" t="inlineStr">
        <is>
          <t>J. Smith</t>
        </is>
      </c>
      <c r="J18" s="191" t="inlineStr">
        <is>
          <t>Open</t>
        </is>
      </c>
      <c r="K18" s="185" t="n">
        <v>810</v>
      </c>
      <c r="L18" s="212" t="inlineStr">
        <is>
          <t>Beneficial owner not confirmed</t>
        </is>
      </c>
      <c r="M18" s="185" t="inlineStr">
        <is>
          <t>Yes</t>
        </is>
      </c>
      <c r="N18" s="185" t="inlineStr">
        <is>
          <t>No Action Required</t>
        </is>
      </c>
      <c r="O18" s="185" t="n"/>
    </row>
    <row r="19" ht="18" customHeight="1" s="126">
      <c r="A19" s="189" t="inlineStr">
        <is>
          <t>ALT20016</t>
        </is>
      </c>
      <c r="B19" s="189" t="inlineStr">
        <is>
          <t>CUST10016</t>
        </is>
      </c>
      <c r="C19" s="189" t="inlineStr">
        <is>
          <t>20/05/2024</t>
        </is>
      </c>
      <c r="D19" s="189" t="inlineStr">
        <is>
          <t>Structuring</t>
        </is>
      </c>
      <c r="E19" s="189" t="n">
        <v>48500</v>
      </c>
      <c r="F19" s="189" t="inlineStr">
        <is>
          <t>AED</t>
        </is>
      </c>
      <c r="G19" s="187" t="n">
        <v>70</v>
      </c>
      <c r="H19" s="192" t="inlineStr">
        <is>
          <t>High</t>
        </is>
      </c>
      <c r="I19" s="189" t="inlineStr">
        <is>
          <t>L. Wang</t>
        </is>
      </c>
      <c r="J19" s="196" t="inlineStr">
        <is>
          <t>Under Review</t>
        </is>
      </c>
      <c r="K19" s="189" t="n">
        <v>778</v>
      </c>
      <c r="L19" s="213" t="inlineStr">
        <is>
          <t>Reviewing transaction pattern</t>
        </is>
      </c>
      <c r="M19" s="189" t="inlineStr">
        <is>
          <t>No</t>
        </is>
      </c>
      <c r="N19" s="189" t="inlineStr">
        <is>
          <t>Pending Documents</t>
        </is>
      </c>
      <c r="O19" s="189" t="n"/>
    </row>
    <row r="20" ht="18" customHeight="1" s="126">
      <c r="A20" s="185" t="inlineStr">
        <is>
          <t>ALT20017</t>
        </is>
      </c>
      <c r="B20" s="185" t="inlineStr">
        <is>
          <t>CUST10017</t>
        </is>
      </c>
      <c r="C20" s="185" t="inlineStr">
        <is>
          <t>21/05/2024</t>
        </is>
      </c>
      <c r="D20" s="185" t="inlineStr">
        <is>
          <t>Unusual Wire Transfer</t>
        </is>
      </c>
      <c r="E20" s="185" t="n">
        <v>24500</v>
      </c>
      <c r="F20" s="185" t="inlineStr">
        <is>
          <t>INR</t>
        </is>
      </c>
      <c r="G20" s="192" t="n">
        <v>76</v>
      </c>
      <c r="H20" s="194" t="inlineStr">
        <is>
          <t>Critical</t>
        </is>
      </c>
      <c r="I20" s="185" t="inlineStr">
        <is>
          <t>P. Nair</t>
        </is>
      </c>
      <c r="J20" s="191" t="inlineStr">
        <is>
          <t>Escalated</t>
        </is>
      </c>
      <c r="K20" s="185" t="n">
        <v>747</v>
      </c>
      <c r="L20" s="212" t="inlineStr">
        <is>
          <t>Documentation requested from customer</t>
        </is>
      </c>
      <c r="M20" s="185" t="inlineStr">
        <is>
          <t>No</t>
        </is>
      </c>
      <c r="N20" s="185" t="inlineStr">
        <is>
          <t>Referred to Authorities</t>
        </is>
      </c>
      <c r="O20" s="185" t="n"/>
    </row>
    <row r="21" ht="18" customHeight="1" s="126">
      <c r="A21" s="189" t="inlineStr">
        <is>
          <t>ALT20018</t>
        </is>
      </c>
      <c r="B21" s="189" t="inlineStr">
        <is>
          <t>CUST10018</t>
        </is>
      </c>
      <c r="C21" s="189" t="inlineStr">
        <is>
          <t>05/06/2024</t>
        </is>
      </c>
      <c r="D21" s="189" t="inlineStr">
        <is>
          <t>Cash Threshold</t>
        </is>
      </c>
      <c r="E21" s="189" t="n">
        <v>95000</v>
      </c>
      <c r="F21" s="189" t="inlineStr">
        <is>
          <t>SGD</t>
        </is>
      </c>
      <c r="G21" s="187" t="n">
        <v>69</v>
      </c>
      <c r="H21" s="194" t="inlineStr">
        <is>
          <t>Critical</t>
        </is>
      </c>
      <c r="I21" s="189" t="inlineStr">
        <is>
          <t>F. Ahmed</t>
        </is>
      </c>
      <c r="J21" s="188" t="inlineStr">
        <is>
          <t>Closed - SAR</t>
        </is>
      </c>
      <c r="K21" s="189" t="n">
        <v>19</v>
      </c>
      <c r="L21" s="213" t="inlineStr">
        <is>
          <t>Escalated to MLRO for decision</t>
        </is>
      </c>
      <c r="M21" s="189" t="inlineStr">
        <is>
          <t>Yes</t>
        </is>
      </c>
      <c r="N21" s="189" t="inlineStr">
        <is>
          <t>Cleared</t>
        </is>
      </c>
      <c r="O21" s="189" t="inlineStr">
        <is>
          <t>26/06/2024</t>
        </is>
      </c>
    </row>
    <row r="22" ht="18" customHeight="1" s="126">
      <c r="A22" s="185" t="inlineStr">
        <is>
          <t>ALT20019</t>
        </is>
      </c>
      <c r="B22" s="185" t="inlineStr">
        <is>
          <t>CUST10019</t>
        </is>
      </c>
      <c r="C22" s="185" t="inlineStr">
        <is>
          <t>07/06/2024</t>
        </is>
      </c>
      <c r="D22" s="185" t="inlineStr">
        <is>
          <t>Rapid Movement</t>
        </is>
      </c>
      <c r="E22" s="185" t="n">
        <v>9999</v>
      </c>
      <c r="F22" s="185" t="inlineStr">
        <is>
          <t>USD</t>
        </is>
      </c>
      <c r="G22" s="187" t="n">
        <v>59</v>
      </c>
      <c r="H22" s="214" t="inlineStr">
        <is>
          <t>Medium</t>
        </is>
      </c>
      <c r="I22" s="185" t="inlineStr">
        <is>
          <t>T. Obi</t>
        </is>
      </c>
      <c r="J22" s="188" t="inlineStr">
        <is>
          <t>Closed - No Action</t>
        </is>
      </c>
      <c r="K22" s="185" t="n">
        <v>8</v>
      </c>
      <c r="L22" s="212" t="inlineStr">
        <is>
          <t>SAR filed to FIU — awaiting feedback</t>
        </is>
      </c>
      <c r="M22" s="185" t="inlineStr">
        <is>
          <t>No</t>
        </is>
      </c>
      <c r="N22" s="185" t="inlineStr">
        <is>
          <t>SAR Submitted</t>
        </is>
      </c>
      <c r="O22" s="185" t="inlineStr">
        <is>
          <t>20/06/2024</t>
        </is>
      </c>
    </row>
    <row r="23" ht="18" customHeight="1" s="126">
      <c r="A23" s="189" t="inlineStr">
        <is>
          <t>ALT20020</t>
        </is>
      </c>
      <c r="B23" s="189" t="inlineStr">
        <is>
          <t>CUST10020</t>
        </is>
      </c>
      <c r="C23" s="189" t="inlineStr">
        <is>
          <t>09/06/2024</t>
        </is>
      </c>
      <c r="D23" s="189" t="inlineStr">
        <is>
          <t>Dormant Reactivation</t>
        </is>
      </c>
      <c r="E23" s="189" t="n">
        <v>24500</v>
      </c>
      <c r="F23" s="189" t="inlineStr">
        <is>
          <t>EUR</t>
        </is>
      </c>
      <c r="G23" s="187" t="n">
        <v>57</v>
      </c>
      <c r="H23" s="187" t="inlineStr">
        <is>
          <t>Low</t>
        </is>
      </c>
      <c r="I23" s="189" t="inlineStr">
        <is>
          <t>Head AML</t>
        </is>
      </c>
      <c r="J23" s="196" t="inlineStr">
        <is>
          <t>Pending Info</t>
        </is>
      </c>
      <c r="K23" s="189" t="n">
        <v>652</v>
      </c>
      <c r="L23" s="213" t="inlineStr">
        <is>
          <t>Normal business activity confirmed</t>
        </is>
      </c>
      <c r="M23" s="189" t="inlineStr">
        <is>
          <t>No</t>
        </is>
      </c>
      <c r="N23" s="189" t="inlineStr">
        <is>
          <t>Monitoring</t>
        </is>
      </c>
      <c r="O23" s="189" t="n"/>
    </row>
    <row r="24" ht="18" customHeight="1" s="126">
      <c r="A24" s="185" t="inlineStr">
        <is>
          <t>ALT20021</t>
        </is>
      </c>
      <c r="B24" s="185" t="inlineStr">
        <is>
          <t>CUST10021</t>
        </is>
      </c>
      <c r="C24" s="185" t="inlineStr">
        <is>
          <t>03/07/2024</t>
        </is>
      </c>
      <c r="D24" s="185" t="inlineStr">
        <is>
          <t>High-Risk Jurisdiction</t>
        </is>
      </c>
      <c r="E24" s="185" t="n">
        <v>24500</v>
      </c>
      <c r="F24" s="185" t="inlineStr">
        <is>
          <t>GBP</t>
        </is>
      </c>
      <c r="G24" s="192" t="n">
        <v>87</v>
      </c>
      <c r="H24" s="192" t="inlineStr">
        <is>
          <t>High</t>
        </is>
      </c>
      <c r="I24" s="185" t="inlineStr">
        <is>
          <t>A. Kumar</t>
        </is>
      </c>
      <c r="J24" s="191" t="inlineStr">
        <is>
          <t>Critical - Escalated</t>
        </is>
      </c>
      <c r="K24" s="185" t="n">
        <v>620</v>
      </c>
      <c r="L24" s="212" t="inlineStr">
        <is>
          <t>Awaiting customer response to query</t>
        </is>
      </c>
      <c r="M24" s="185" t="inlineStr">
        <is>
          <t>No</t>
        </is>
      </c>
      <c r="N24" s="185" t="inlineStr">
        <is>
          <t>Pending</t>
        </is>
      </c>
      <c r="O24" s="185" t="n"/>
    </row>
    <row r="25" ht="18" customHeight="1" s="126">
      <c r="A25" s="189" t="inlineStr">
        <is>
          <t>ALT20022</t>
        </is>
      </c>
      <c r="B25" s="189" t="inlineStr">
        <is>
          <t>CUST10022</t>
        </is>
      </c>
      <c r="C25" s="189" t="inlineStr">
        <is>
          <t>09/07/2024</t>
        </is>
      </c>
      <c r="D25" s="189" t="inlineStr">
        <is>
          <t>PEP Transaction</t>
        </is>
      </c>
      <c r="E25" s="189" t="n">
        <v>55000</v>
      </c>
      <c r="F25" s="189" t="inlineStr">
        <is>
          <t>AED</t>
        </is>
      </c>
      <c r="G25" s="194" t="n">
        <v>97</v>
      </c>
      <c r="H25" s="192" t="inlineStr">
        <is>
          <t>High</t>
        </is>
      </c>
      <c r="I25" s="189" t="inlineStr">
        <is>
          <t>S. Patel</t>
        </is>
      </c>
      <c r="J25" s="191" t="inlineStr">
        <is>
          <t>Open</t>
        </is>
      </c>
      <c r="K25" s="189" t="n">
        <v>589</v>
      </c>
      <c r="L25" s="213" t="inlineStr">
        <is>
          <t>PEP ongoing verification</t>
        </is>
      </c>
      <c r="M25" s="189" t="inlineStr">
        <is>
          <t>Yes</t>
        </is>
      </c>
      <c r="N25" s="189" t="inlineStr">
        <is>
          <t>In Progress</t>
        </is>
      </c>
      <c r="O25" s="189" t="n"/>
    </row>
    <row r="26" ht="18" customHeight="1" s="126">
      <c r="A26" s="185" t="inlineStr">
        <is>
          <t>ALT20023</t>
        </is>
      </c>
      <c r="B26" s="185" t="inlineStr">
        <is>
          <t>CUST10023</t>
        </is>
      </c>
      <c r="C26" s="185" t="inlineStr">
        <is>
          <t>21/07/2024</t>
        </is>
      </c>
      <c r="D26" s="185" t="inlineStr">
        <is>
          <t>Sanctions Match</t>
        </is>
      </c>
      <c r="E26" s="185" t="n">
        <v>32000</v>
      </c>
      <c r="F26" s="185" t="inlineStr">
        <is>
          <t>INR</t>
        </is>
      </c>
      <c r="G26" s="192" t="n">
        <v>89</v>
      </c>
      <c r="H26" s="214" t="inlineStr">
        <is>
          <t>Medium</t>
        </is>
      </c>
      <c r="I26" s="185" t="inlineStr">
        <is>
          <t>M. Ali</t>
        </is>
      </c>
      <c r="J26" s="196" t="inlineStr">
        <is>
          <t>Under Review</t>
        </is>
      </c>
      <c r="K26" s="185" t="n">
        <v>557</v>
      </c>
      <c r="L26" s="212" t="inlineStr">
        <is>
          <t>Sanctions list cross-checked</t>
        </is>
      </c>
      <c r="M26" s="185" t="inlineStr">
        <is>
          <t>No</t>
        </is>
      </c>
      <c r="N26" s="185" t="inlineStr">
        <is>
          <t>SAR Filed</t>
        </is>
      </c>
      <c r="O26" s="185" t="n"/>
    </row>
    <row r="27" ht="18" customHeight="1" s="126">
      <c r="A27" s="189" t="inlineStr">
        <is>
          <t>ALT20024</t>
        </is>
      </c>
      <c r="B27" s="189" t="inlineStr">
        <is>
          <t>CUST10024</t>
        </is>
      </c>
      <c r="C27" s="189" t="inlineStr">
        <is>
          <t>03/08/2024</t>
        </is>
      </c>
      <c r="D27" s="189" t="inlineStr">
        <is>
          <t>Round-Dollar Amounts</t>
        </is>
      </c>
      <c r="E27" s="189" t="n">
        <v>110000</v>
      </c>
      <c r="F27" s="189" t="inlineStr">
        <is>
          <t>SGD</t>
        </is>
      </c>
      <c r="G27" s="194" t="n">
        <v>91</v>
      </c>
      <c r="H27" s="192" t="inlineStr">
        <is>
          <t>High</t>
        </is>
      </c>
      <c r="I27" s="189" t="inlineStr">
        <is>
          <t>R. Chen</t>
        </is>
      </c>
      <c r="J27" s="191" t="inlineStr">
        <is>
          <t>Escalated</t>
        </is>
      </c>
      <c r="K27" s="189" t="n">
        <v>526</v>
      </c>
      <c r="L27" s="213" t="inlineStr">
        <is>
          <t>Pattern analysis completed</t>
        </is>
      </c>
      <c r="M27" s="189" t="inlineStr">
        <is>
          <t>Yes</t>
        </is>
      </c>
      <c r="N27" s="189" t="inlineStr">
        <is>
          <t>Case Closed</t>
        </is>
      </c>
      <c r="O27" s="189" t="n"/>
    </row>
    <row r="28" ht="18" customHeight="1" s="126">
      <c r="A28" s="185" t="inlineStr">
        <is>
          <t>ALT20025</t>
        </is>
      </c>
      <c r="B28" s="185" t="inlineStr">
        <is>
          <t>CUST10025</t>
        </is>
      </c>
      <c r="C28" s="185" t="inlineStr">
        <is>
          <t>04/08/2024</t>
        </is>
      </c>
      <c r="D28" s="185" t="inlineStr">
        <is>
          <t>Velocity Alert</t>
        </is>
      </c>
      <c r="E28" s="185" t="n">
        <v>175000</v>
      </c>
      <c r="F28" s="185" t="inlineStr">
        <is>
          <t>USD</t>
        </is>
      </c>
      <c r="G28" s="192" t="n">
        <v>81</v>
      </c>
      <c r="H28" s="214" t="inlineStr">
        <is>
          <t>Medium</t>
        </is>
      </c>
      <c r="I28" s="185" t="inlineStr">
        <is>
          <t>J. Smith</t>
        </is>
      </c>
      <c r="J28" s="188" t="inlineStr">
        <is>
          <t>Closed - SAR</t>
        </is>
      </c>
      <c r="K28" s="185" t="n">
        <v>8</v>
      </c>
      <c r="L28" s="212" t="inlineStr">
        <is>
          <t>New alert raised — monitoring</t>
        </is>
      </c>
      <c r="M28" s="185" t="inlineStr">
        <is>
          <t>Yes</t>
        </is>
      </c>
      <c r="N28" s="185" t="inlineStr">
        <is>
          <t>No Action Required</t>
        </is>
      </c>
      <c r="O28" s="185" t="inlineStr">
        <is>
          <t>26/08/2024</t>
        </is>
      </c>
    </row>
    <row r="29" ht="18" customHeight="1" s="126">
      <c r="A29" s="189" t="inlineStr">
        <is>
          <t>ALT20026</t>
        </is>
      </c>
      <c r="B29" s="189" t="inlineStr">
        <is>
          <t>CUST10026</t>
        </is>
      </c>
      <c r="C29" s="189" t="inlineStr">
        <is>
          <t>09/08/2024</t>
        </is>
      </c>
      <c r="D29" s="189" t="inlineStr">
        <is>
          <t>Layering</t>
        </is>
      </c>
      <c r="E29" s="189" t="n">
        <v>48500</v>
      </c>
      <c r="F29" s="189" t="inlineStr">
        <is>
          <t>EUR</t>
        </is>
      </c>
      <c r="G29" s="194" t="n">
        <v>97</v>
      </c>
      <c r="H29" s="192" t="inlineStr">
        <is>
          <t>High</t>
        </is>
      </c>
      <c r="I29" s="189" t="inlineStr">
        <is>
          <t>L. Wang</t>
        </is>
      </c>
      <c r="J29" s="188" t="inlineStr">
        <is>
          <t>Closed - No Action</t>
        </is>
      </c>
      <c r="K29" s="189" t="n">
        <v>4</v>
      </c>
      <c r="L29" s="213" t="inlineStr">
        <is>
          <t>Unusual cross-border movement</t>
        </is>
      </c>
      <c r="M29" s="189" t="inlineStr">
        <is>
          <t>Yes</t>
        </is>
      </c>
      <c r="N29" s="189" t="inlineStr">
        <is>
          <t>Pending Documents</t>
        </is>
      </c>
      <c r="O29" s="189" t="inlineStr">
        <is>
          <t>14/08/2024</t>
        </is>
      </c>
    </row>
    <row r="30" ht="18" customHeight="1" s="126">
      <c r="A30" s="185" t="inlineStr">
        <is>
          <t>ALT20027</t>
        </is>
      </c>
      <c r="B30" s="185" t="inlineStr">
        <is>
          <t>CUST10027</t>
        </is>
      </c>
      <c r="C30" s="185" t="inlineStr">
        <is>
          <t>01/09/2024</t>
        </is>
      </c>
      <c r="D30" s="185" t="inlineStr">
        <is>
          <t>Integration</t>
        </is>
      </c>
      <c r="E30" s="185" t="n">
        <v>88000</v>
      </c>
      <c r="F30" s="185" t="inlineStr">
        <is>
          <t>GBP</t>
        </is>
      </c>
      <c r="G30" s="192" t="n">
        <v>81</v>
      </c>
      <c r="H30" s="194" t="inlineStr">
        <is>
          <t>Critical</t>
        </is>
      </c>
      <c r="I30" s="185" t="inlineStr">
        <is>
          <t>P. Nair</t>
        </is>
      </c>
      <c r="J30" s="196" t="inlineStr">
        <is>
          <t>Pending Info</t>
        </is>
      </c>
      <c r="K30" s="185" t="n">
        <v>798</v>
      </c>
      <c r="L30" s="212" t="inlineStr">
        <is>
          <t>Cash deposits inconsistent with profile</t>
        </is>
      </c>
      <c r="M30" s="185" t="inlineStr">
        <is>
          <t>Yes</t>
        </is>
      </c>
      <c r="N30" s="185" t="inlineStr">
        <is>
          <t>Referred to Authorities</t>
        </is>
      </c>
      <c r="O30" s="185" t="n"/>
    </row>
    <row r="31" ht="18" customHeight="1" s="126">
      <c r="A31" s="189" t="inlineStr">
        <is>
          <t>ALT20028</t>
        </is>
      </c>
      <c r="B31" s="189" t="inlineStr">
        <is>
          <t>CUST10028</t>
        </is>
      </c>
      <c r="C31" s="189" t="inlineStr">
        <is>
          <t>02/09/2024</t>
        </is>
      </c>
      <c r="D31" s="189" t="inlineStr">
        <is>
          <t>Smurfing</t>
        </is>
      </c>
      <c r="E31" s="189" t="n">
        <v>15000</v>
      </c>
      <c r="F31" s="189" t="inlineStr">
        <is>
          <t>AED</t>
        </is>
      </c>
      <c r="G31" s="194" t="n">
        <v>98</v>
      </c>
      <c r="H31" s="194" t="inlineStr">
        <is>
          <t>Critical</t>
        </is>
      </c>
      <c r="I31" s="189" t="inlineStr">
        <is>
          <t>F. Ahmed</t>
        </is>
      </c>
      <c r="J31" s="191" t="inlineStr">
        <is>
          <t>Critical - Escalated</t>
        </is>
      </c>
      <c r="K31" s="189" t="n">
        <v>766</v>
      </c>
      <c r="L31" s="213" t="inlineStr">
        <is>
          <t>Wire transfer to high-risk jurisdiction</t>
        </is>
      </c>
      <c r="M31" s="189" t="inlineStr">
        <is>
          <t>No</t>
        </is>
      </c>
      <c r="N31" s="189" t="inlineStr">
        <is>
          <t>Cleared</t>
        </is>
      </c>
      <c r="O31" s="189" t="n"/>
    </row>
    <row r="32" ht="18" customHeight="1" s="126">
      <c r="A32" s="185" t="inlineStr">
        <is>
          <t>ALT20029</t>
        </is>
      </c>
      <c r="B32" s="185" t="inlineStr">
        <is>
          <t>CUST10029</t>
        </is>
      </c>
      <c r="C32" s="185" t="inlineStr">
        <is>
          <t>08/09/2024</t>
        </is>
      </c>
      <c r="D32" s="185" t="inlineStr">
        <is>
          <t>Cyber Fraud</t>
        </is>
      </c>
      <c r="E32" s="185" t="n">
        <v>15000</v>
      </c>
      <c r="F32" s="185" t="inlineStr">
        <is>
          <t>INR</t>
        </is>
      </c>
      <c r="G32" s="192" t="n">
        <v>80</v>
      </c>
      <c r="H32" s="214" t="inlineStr">
        <is>
          <t>Medium</t>
        </is>
      </c>
      <c r="I32" s="185" t="inlineStr">
        <is>
          <t>T. Obi</t>
        </is>
      </c>
      <c r="J32" s="191" t="inlineStr">
        <is>
          <t>Open</t>
        </is>
      </c>
      <c r="K32" s="185" t="n">
        <v>763</v>
      </c>
      <c r="L32" s="212" t="inlineStr">
        <is>
          <t>Round-tripping detected</t>
        </is>
      </c>
      <c r="M32" s="185" t="inlineStr">
        <is>
          <t>No</t>
        </is>
      </c>
      <c r="N32" s="185" t="inlineStr">
        <is>
          <t>SAR Submitted</t>
        </is>
      </c>
      <c r="O32" s="185" t="n"/>
    </row>
    <row r="33" ht="18" customHeight="1" s="126">
      <c r="A33" s="189" t="inlineStr">
        <is>
          <t>ALT20030</t>
        </is>
      </c>
      <c r="B33" s="189" t="inlineStr">
        <is>
          <t>CUST10030</t>
        </is>
      </c>
      <c r="C33" s="189" t="inlineStr">
        <is>
          <t>09/09/2024</t>
        </is>
      </c>
      <c r="D33" s="189" t="inlineStr">
        <is>
          <t>Tax Evasion Indicator</t>
        </is>
      </c>
      <c r="E33" s="189" t="n">
        <v>48500</v>
      </c>
      <c r="F33" s="189" t="inlineStr">
        <is>
          <t>SGD</t>
        </is>
      </c>
      <c r="G33" s="187" t="n">
        <v>70</v>
      </c>
      <c r="H33" s="187" t="inlineStr">
        <is>
          <t>Low</t>
        </is>
      </c>
      <c r="I33" s="189" t="inlineStr">
        <is>
          <t>Head AML</t>
        </is>
      </c>
      <c r="J33" s="196" t="inlineStr">
        <is>
          <t>Under Review</t>
        </is>
      </c>
      <c r="K33" s="189" t="n">
        <v>731</v>
      </c>
      <c r="L33" s="213" t="inlineStr">
        <is>
          <t>Beneficial owner not confirmed</t>
        </is>
      </c>
      <c r="M33" s="189" t="inlineStr">
        <is>
          <t>No</t>
        </is>
      </c>
      <c r="N33" s="189" t="inlineStr">
        <is>
          <t>Monitoring</t>
        </is>
      </c>
      <c r="O33" s="189" t="n"/>
    </row>
    <row r="34" ht="18" customHeight="1" s="126">
      <c r="A34" s="185" t="inlineStr">
        <is>
          <t>ALT20031</t>
        </is>
      </c>
      <c r="B34" s="185" t="inlineStr">
        <is>
          <t>CUST10031</t>
        </is>
      </c>
      <c r="C34" s="185" t="inlineStr">
        <is>
          <t>23/09/2024</t>
        </is>
      </c>
      <c r="D34" s="185" t="inlineStr">
        <is>
          <t>Structuring</t>
        </is>
      </c>
      <c r="E34" s="185" t="n">
        <v>32000</v>
      </c>
      <c r="F34" s="185" t="inlineStr">
        <is>
          <t>USD</t>
        </is>
      </c>
      <c r="G34" s="192" t="n">
        <v>89</v>
      </c>
      <c r="H34" s="192" t="inlineStr">
        <is>
          <t>High</t>
        </is>
      </c>
      <c r="I34" s="185" t="inlineStr">
        <is>
          <t>A. Kumar</t>
        </is>
      </c>
      <c r="J34" s="191" t="inlineStr">
        <is>
          <t>Escalated</t>
        </is>
      </c>
      <c r="K34" s="185" t="n">
        <v>700</v>
      </c>
      <c r="L34" s="212" t="inlineStr">
        <is>
          <t>Reviewing transaction pattern</t>
        </is>
      </c>
      <c r="M34" s="185" t="inlineStr">
        <is>
          <t>Yes</t>
        </is>
      </c>
      <c r="N34" s="185" t="inlineStr">
        <is>
          <t>Pending</t>
        </is>
      </c>
      <c r="O34" s="185" t="n"/>
    </row>
    <row r="35" ht="18" customHeight="1" s="126">
      <c r="A35" s="189" t="inlineStr">
        <is>
          <t>ALT20032</t>
        </is>
      </c>
      <c r="B35" s="189" t="inlineStr">
        <is>
          <t>CUST10032</t>
        </is>
      </c>
      <c r="C35" s="189" t="inlineStr">
        <is>
          <t>08/10/2024</t>
        </is>
      </c>
      <c r="D35" s="189" t="inlineStr">
        <is>
          <t>Unusual Wire Transfer</t>
        </is>
      </c>
      <c r="E35" s="189" t="n">
        <v>88000</v>
      </c>
      <c r="F35" s="189" t="inlineStr">
        <is>
          <t>EUR</t>
        </is>
      </c>
      <c r="G35" s="187" t="n">
        <v>66</v>
      </c>
      <c r="H35" s="192" t="inlineStr">
        <is>
          <t>High</t>
        </is>
      </c>
      <c r="I35" s="189" t="inlineStr">
        <is>
          <t>S. Patel</t>
        </is>
      </c>
      <c r="J35" s="188" t="inlineStr">
        <is>
          <t>Closed - SAR</t>
        </is>
      </c>
      <c r="K35" s="189" t="n">
        <v>5</v>
      </c>
      <c r="L35" s="213" t="inlineStr">
        <is>
          <t>Documentation requested from customer</t>
        </is>
      </c>
      <c r="M35" s="189" t="inlineStr">
        <is>
          <t>Yes</t>
        </is>
      </c>
      <c r="N35" s="189" t="inlineStr">
        <is>
          <t>In Progress</t>
        </is>
      </c>
      <c r="O35" s="189" t="inlineStr">
        <is>
          <t>16/10/2024</t>
        </is>
      </c>
    </row>
    <row r="36" ht="18" customHeight="1" s="126">
      <c r="A36" s="185" t="inlineStr">
        <is>
          <t>ALT20033</t>
        </is>
      </c>
      <c r="B36" s="185" t="inlineStr">
        <is>
          <t>CUST10033</t>
        </is>
      </c>
      <c r="C36" s="185" t="inlineStr">
        <is>
          <t>11/10/2024</t>
        </is>
      </c>
      <c r="D36" s="185" t="inlineStr">
        <is>
          <t>Cash Threshold</t>
        </is>
      </c>
      <c r="E36" s="185" t="n">
        <v>150000</v>
      </c>
      <c r="F36" s="185" t="inlineStr">
        <is>
          <t>GBP</t>
        </is>
      </c>
      <c r="G36" s="187" t="n">
        <v>59</v>
      </c>
      <c r="H36" s="214" t="inlineStr">
        <is>
          <t>Medium</t>
        </is>
      </c>
      <c r="I36" s="185" t="inlineStr">
        <is>
          <t>M. Ali</t>
        </is>
      </c>
      <c r="J36" s="188" t="inlineStr">
        <is>
          <t>Closed - No Action</t>
        </is>
      </c>
      <c r="K36" s="185" t="n">
        <v>15</v>
      </c>
      <c r="L36" s="212" t="inlineStr">
        <is>
          <t>Escalated to MLRO for decision</t>
        </is>
      </c>
      <c r="M36" s="185" t="inlineStr">
        <is>
          <t>Yes</t>
        </is>
      </c>
      <c r="N36" s="185" t="inlineStr">
        <is>
          <t>SAR Filed</t>
        </is>
      </c>
      <c r="O36" s="185" t="inlineStr">
        <is>
          <t>02/11/2024</t>
        </is>
      </c>
    </row>
    <row r="37" ht="18" customHeight="1" s="126">
      <c r="A37" s="189" t="inlineStr">
        <is>
          <t>ALT20034</t>
        </is>
      </c>
      <c r="B37" s="189" t="inlineStr">
        <is>
          <t>CUST10034</t>
        </is>
      </c>
      <c r="C37" s="189" t="inlineStr">
        <is>
          <t>14/10/2024</t>
        </is>
      </c>
      <c r="D37" s="189" t="inlineStr">
        <is>
          <t>Rapid Movement</t>
        </is>
      </c>
      <c r="E37" s="189" t="n">
        <v>95000</v>
      </c>
      <c r="F37" s="189" t="inlineStr">
        <is>
          <t>AED</t>
        </is>
      </c>
      <c r="G37" s="187" t="n">
        <v>61</v>
      </c>
      <c r="H37" s="192" t="inlineStr">
        <is>
          <t>High</t>
        </is>
      </c>
      <c r="I37" s="189" t="inlineStr">
        <is>
          <t>R. Chen</t>
        </is>
      </c>
      <c r="J37" s="196" t="inlineStr">
        <is>
          <t>Pending Info</t>
        </is>
      </c>
      <c r="K37" s="189" t="n">
        <v>605</v>
      </c>
      <c r="L37" s="213" t="inlineStr">
        <is>
          <t>SAR filed to FIU — awaiting feedback</t>
        </is>
      </c>
      <c r="M37" s="189" t="inlineStr">
        <is>
          <t>No</t>
        </is>
      </c>
      <c r="N37" s="189" t="inlineStr">
        <is>
          <t>Case Closed</t>
        </is>
      </c>
      <c r="O37" s="189" t="n"/>
    </row>
    <row r="38" ht="18" customHeight="1" s="126">
      <c r="A38" s="185" t="inlineStr">
        <is>
          <t>ALT20035</t>
        </is>
      </c>
      <c r="B38" s="185" t="inlineStr">
        <is>
          <t>CUST10035</t>
        </is>
      </c>
      <c r="C38" s="185" t="inlineStr">
        <is>
          <t>23/10/2024</t>
        </is>
      </c>
      <c r="D38" s="185" t="inlineStr">
        <is>
          <t>Dormant Reactivation</t>
        </is>
      </c>
      <c r="E38" s="185" t="n">
        <v>95000</v>
      </c>
      <c r="F38" s="185" t="inlineStr">
        <is>
          <t>INR</t>
        </is>
      </c>
      <c r="G38" s="187" t="n">
        <v>55</v>
      </c>
      <c r="H38" s="214" t="inlineStr">
        <is>
          <t>Medium</t>
        </is>
      </c>
      <c r="I38" s="185" t="inlineStr">
        <is>
          <t>J. Smith</t>
        </is>
      </c>
      <c r="J38" s="191" t="inlineStr">
        <is>
          <t>Critical - Escalated</t>
        </is>
      </c>
      <c r="K38" s="185" t="n">
        <v>573</v>
      </c>
      <c r="L38" s="212" t="inlineStr">
        <is>
          <t>Normal business activity confirmed</t>
        </is>
      </c>
      <c r="M38" s="185" t="inlineStr">
        <is>
          <t>No</t>
        </is>
      </c>
      <c r="N38" s="185" t="inlineStr">
        <is>
          <t>No Action Required</t>
        </is>
      </c>
      <c r="O38" s="185" t="n"/>
    </row>
    <row r="39" ht="18" customHeight="1" s="126">
      <c r="A39" s="189" t="inlineStr">
        <is>
          <t>ALT20036</t>
        </is>
      </c>
      <c r="B39" s="189" t="inlineStr">
        <is>
          <t>CUST10036</t>
        </is>
      </c>
      <c r="C39" s="189" t="inlineStr">
        <is>
          <t>27/10/2024</t>
        </is>
      </c>
      <c r="D39" s="189" t="inlineStr">
        <is>
          <t>High-Risk Jurisdiction</t>
        </is>
      </c>
      <c r="E39" s="189" t="n">
        <v>150000</v>
      </c>
      <c r="F39" s="189" t="inlineStr">
        <is>
          <t>SGD</t>
        </is>
      </c>
      <c r="G39" s="187" t="n">
        <v>65</v>
      </c>
      <c r="H39" s="192" t="inlineStr">
        <is>
          <t>High</t>
        </is>
      </c>
      <c r="I39" s="189" t="inlineStr">
        <is>
          <t>L. Wang</t>
        </is>
      </c>
      <c r="J39" s="191" t="inlineStr">
        <is>
          <t>Open</t>
        </is>
      </c>
      <c r="K39" s="189" t="n">
        <v>542</v>
      </c>
      <c r="L39" s="213" t="inlineStr">
        <is>
          <t>Awaiting customer response to query</t>
        </is>
      </c>
      <c r="M39" s="189" t="inlineStr">
        <is>
          <t>Yes</t>
        </is>
      </c>
      <c r="N39" s="189" t="inlineStr">
        <is>
          <t>Pending Documents</t>
        </is>
      </c>
      <c r="O39" s="189" t="n"/>
    </row>
    <row r="40" ht="18" customHeight="1" s="126">
      <c r="A40" s="185" t="inlineStr">
        <is>
          <t>ALT20037</t>
        </is>
      </c>
      <c r="B40" s="185" t="inlineStr">
        <is>
          <t>CUST10037</t>
        </is>
      </c>
      <c r="C40" s="185" t="inlineStr">
        <is>
          <t>28/10/2024</t>
        </is>
      </c>
      <c r="D40" s="185" t="inlineStr">
        <is>
          <t>PEP Transaction</t>
        </is>
      </c>
      <c r="E40" s="185" t="n">
        <v>175000</v>
      </c>
      <c r="F40" s="185" t="inlineStr">
        <is>
          <t>USD</t>
        </is>
      </c>
      <c r="G40" s="192" t="n">
        <v>85</v>
      </c>
      <c r="H40" s="194" t="inlineStr">
        <is>
          <t>Critical</t>
        </is>
      </c>
      <c r="I40" s="185" t="inlineStr">
        <is>
          <t>P. Nair</t>
        </is>
      </c>
      <c r="J40" s="196" t="inlineStr">
        <is>
          <t>Under Review</t>
        </is>
      </c>
      <c r="K40" s="185" t="n">
        <v>876</v>
      </c>
      <c r="L40" s="212" t="inlineStr">
        <is>
          <t>PEP ongoing verification</t>
        </is>
      </c>
      <c r="M40" s="185" t="inlineStr">
        <is>
          <t>No</t>
        </is>
      </c>
      <c r="N40" s="185" t="inlineStr">
        <is>
          <t>Referred to Authorities</t>
        </is>
      </c>
      <c r="O40" s="185" t="n"/>
    </row>
    <row r="41" ht="18" customHeight="1" s="126">
      <c r="A41" s="189" t="inlineStr">
        <is>
          <t>ALT20038</t>
        </is>
      </c>
      <c r="B41" s="189" t="inlineStr">
        <is>
          <t>CUST10038</t>
        </is>
      </c>
      <c r="C41" s="189" t="inlineStr">
        <is>
          <t>01/11/2024</t>
        </is>
      </c>
      <c r="D41" s="189" t="inlineStr">
        <is>
          <t>Sanctions Match</t>
        </is>
      </c>
      <c r="E41" s="189" t="n">
        <v>67000</v>
      </c>
      <c r="F41" s="189" t="inlineStr">
        <is>
          <t>EUR</t>
        </is>
      </c>
      <c r="G41" s="187" t="n">
        <v>58</v>
      </c>
      <c r="H41" s="194" t="inlineStr">
        <is>
          <t>Critical</t>
        </is>
      </c>
      <c r="I41" s="189" t="inlineStr">
        <is>
          <t>F. Ahmed</t>
        </is>
      </c>
      <c r="J41" s="191" t="inlineStr">
        <is>
          <t>Escalated</t>
        </is>
      </c>
      <c r="K41" s="189" t="n">
        <v>844</v>
      </c>
      <c r="L41" s="213" t="inlineStr">
        <is>
          <t>Sanctions list cross-checked</t>
        </is>
      </c>
      <c r="M41" s="189" t="inlineStr">
        <is>
          <t>No</t>
        </is>
      </c>
      <c r="N41" s="189" t="inlineStr">
        <is>
          <t>Cleared</t>
        </is>
      </c>
      <c r="O41" s="189" t="n"/>
    </row>
    <row r="42" ht="18" customHeight="1" s="126">
      <c r="A42" s="185" t="inlineStr">
        <is>
          <t>ALT20039</t>
        </is>
      </c>
      <c r="B42" s="185" t="inlineStr">
        <is>
          <t>CUST10039</t>
        </is>
      </c>
      <c r="C42" s="185" t="inlineStr">
        <is>
          <t>02/11/2024</t>
        </is>
      </c>
      <c r="D42" s="185" t="inlineStr">
        <is>
          <t>Round-Dollar Amounts</t>
        </is>
      </c>
      <c r="E42" s="185" t="n">
        <v>9999</v>
      </c>
      <c r="F42" s="185" t="inlineStr">
        <is>
          <t>GBP</t>
        </is>
      </c>
      <c r="G42" s="192" t="n">
        <v>79</v>
      </c>
      <c r="H42" s="214" t="inlineStr">
        <is>
          <t>Medium</t>
        </is>
      </c>
      <c r="I42" s="185" t="inlineStr">
        <is>
          <t>T. Obi</t>
        </is>
      </c>
      <c r="J42" s="188" t="inlineStr">
        <is>
          <t>Closed - SAR</t>
        </is>
      </c>
      <c r="K42" s="185" t="n">
        <v>13</v>
      </c>
      <c r="L42" s="212" t="inlineStr">
        <is>
          <t>Pattern analysis completed</t>
        </is>
      </c>
      <c r="M42" s="185" t="inlineStr">
        <is>
          <t>Yes</t>
        </is>
      </c>
      <c r="N42" s="185" t="inlineStr">
        <is>
          <t>SAR Submitted</t>
        </is>
      </c>
      <c r="O42" s="185" t="inlineStr">
        <is>
          <t>15/11/2024</t>
        </is>
      </c>
    </row>
    <row r="43" ht="18" customHeight="1" s="126">
      <c r="A43" s="189" t="inlineStr">
        <is>
          <t>ALT20040</t>
        </is>
      </c>
      <c r="B43" s="189" t="inlineStr">
        <is>
          <t>CUST10040</t>
        </is>
      </c>
      <c r="C43" s="189" t="inlineStr">
        <is>
          <t>06/11/2024</t>
        </is>
      </c>
      <c r="D43" s="189" t="inlineStr">
        <is>
          <t>Velocity Alert</t>
        </is>
      </c>
      <c r="E43" s="189" t="n">
        <v>42000</v>
      </c>
      <c r="F43" s="189" t="inlineStr">
        <is>
          <t>AED</t>
        </is>
      </c>
      <c r="G43" s="187" t="n">
        <v>73</v>
      </c>
      <c r="H43" s="187" t="inlineStr">
        <is>
          <t>Low</t>
        </is>
      </c>
      <c r="I43" s="189" t="inlineStr">
        <is>
          <t>Head AML</t>
        </is>
      </c>
      <c r="J43" s="188" t="inlineStr">
        <is>
          <t>Closed - No Action</t>
        </is>
      </c>
      <c r="K43" s="189" t="n">
        <v>30</v>
      </c>
      <c r="L43" s="213" t="inlineStr">
        <is>
          <t>New alert raised — monitoring</t>
        </is>
      </c>
      <c r="M43" s="189" t="inlineStr">
        <is>
          <t>Yes</t>
        </is>
      </c>
      <c r="N43" s="189" t="inlineStr">
        <is>
          <t>Monitoring</t>
        </is>
      </c>
      <c r="O43" s="189" t="inlineStr">
        <is>
          <t>01/12/2024</t>
        </is>
      </c>
    </row>
    <row r="44" ht="18" customHeight="1" s="126">
      <c r="A44" s="185" t="inlineStr">
        <is>
          <t>ALT20041</t>
        </is>
      </c>
      <c r="B44" s="185" t="inlineStr">
        <is>
          <t>CUST10041</t>
        </is>
      </c>
      <c r="C44" s="185" t="inlineStr">
        <is>
          <t>13/11/2024</t>
        </is>
      </c>
      <c r="D44" s="185" t="inlineStr">
        <is>
          <t>Layering</t>
        </is>
      </c>
      <c r="E44" s="185" t="n">
        <v>95000</v>
      </c>
      <c r="F44" s="185" t="inlineStr">
        <is>
          <t>INR</t>
        </is>
      </c>
      <c r="G44" s="194" t="n">
        <v>97</v>
      </c>
      <c r="H44" s="192" t="inlineStr">
        <is>
          <t>High</t>
        </is>
      </c>
      <c r="I44" s="185" t="inlineStr">
        <is>
          <t>A. Kumar</t>
        </is>
      </c>
      <c r="J44" s="196" t="inlineStr">
        <is>
          <t>Pending Info</t>
        </is>
      </c>
      <c r="K44" s="185" t="n">
        <v>751</v>
      </c>
      <c r="L44" s="212" t="inlineStr">
        <is>
          <t>Unusual cross-border movement</t>
        </is>
      </c>
      <c r="M44" s="185" t="inlineStr">
        <is>
          <t>Yes</t>
        </is>
      </c>
      <c r="N44" s="185" t="inlineStr">
        <is>
          <t>Pending</t>
        </is>
      </c>
      <c r="O44" s="185" t="n"/>
    </row>
    <row r="45" ht="18" customHeight="1" s="126">
      <c r="A45" s="189" t="inlineStr">
        <is>
          <t>ALT20042</t>
        </is>
      </c>
      <c r="B45" s="189" t="inlineStr">
        <is>
          <t>CUST10042</t>
        </is>
      </c>
      <c r="C45" s="189" t="inlineStr">
        <is>
          <t>20/11/2024</t>
        </is>
      </c>
      <c r="D45" s="189" t="inlineStr">
        <is>
          <t>Integration</t>
        </is>
      </c>
      <c r="E45" s="189" t="n">
        <v>75000</v>
      </c>
      <c r="F45" s="189" t="inlineStr">
        <is>
          <t>SGD</t>
        </is>
      </c>
      <c r="G45" s="187" t="n">
        <v>67</v>
      </c>
      <c r="H45" s="192" t="inlineStr">
        <is>
          <t>High</t>
        </is>
      </c>
      <c r="I45" s="189" t="inlineStr">
        <is>
          <t>S. Patel</t>
        </is>
      </c>
      <c r="J45" s="191" t="inlineStr">
        <is>
          <t>Critical - Escalated</t>
        </is>
      </c>
      <c r="K45" s="189" t="n">
        <v>719</v>
      </c>
      <c r="L45" s="213" t="inlineStr">
        <is>
          <t>Cash deposits inconsistent with profile</t>
        </is>
      </c>
      <c r="M45" s="189" t="inlineStr">
        <is>
          <t>No</t>
        </is>
      </c>
      <c r="N45" s="189" t="inlineStr">
        <is>
          <t>In Progress</t>
        </is>
      </c>
      <c r="O45" s="189" t="n"/>
    </row>
    <row r="46" ht="18" customHeight="1" s="126">
      <c r="A46" s="185" t="inlineStr">
        <is>
          <t>ALT20043</t>
        </is>
      </c>
      <c r="B46" s="185" t="inlineStr">
        <is>
          <t>CUST10043</t>
        </is>
      </c>
      <c r="C46" s="185" t="inlineStr">
        <is>
          <t>24/11/2024</t>
        </is>
      </c>
      <c r="D46" s="185" t="inlineStr">
        <is>
          <t>Smurfing</t>
        </is>
      </c>
      <c r="E46" s="185" t="n">
        <v>32000</v>
      </c>
      <c r="F46" s="185" t="inlineStr">
        <is>
          <t>USD</t>
        </is>
      </c>
      <c r="G46" s="187" t="n">
        <v>58</v>
      </c>
      <c r="H46" s="214" t="inlineStr">
        <is>
          <t>Medium</t>
        </is>
      </c>
      <c r="I46" s="185" t="inlineStr">
        <is>
          <t>M. Ali</t>
        </is>
      </c>
      <c r="J46" s="191" t="inlineStr">
        <is>
          <t>Open</t>
        </is>
      </c>
      <c r="K46" s="185" t="n">
        <v>688</v>
      </c>
      <c r="L46" s="212" t="inlineStr">
        <is>
          <t>Wire transfer to high-risk jurisdiction</t>
        </is>
      </c>
      <c r="M46" s="185" t="inlineStr">
        <is>
          <t>No</t>
        </is>
      </c>
      <c r="N46" s="185" t="inlineStr">
        <is>
          <t>SAR Filed</t>
        </is>
      </c>
      <c r="O46" s="185" t="n"/>
    </row>
    <row r="47" ht="18" customHeight="1" s="126">
      <c r="A47" s="189" t="inlineStr">
        <is>
          <t>ALT20044</t>
        </is>
      </c>
      <c r="B47" s="189" t="inlineStr">
        <is>
          <t>CUST10044</t>
        </is>
      </c>
      <c r="C47" s="189" t="inlineStr">
        <is>
          <t>03/12/2024</t>
        </is>
      </c>
      <c r="D47" s="189" t="inlineStr">
        <is>
          <t>Cyber Fraud</t>
        </is>
      </c>
      <c r="E47" s="189" t="n">
        <v>200000</v>
      </c>
      <c r="F47" s="189" t="inlineStr">
        <is>
          <t>EUR</t>
        </is>
      </c>
      <c r="G47" s="187" t="n">
        <v>58</v>
      </c>
      <c r="H47" s="192" t="inlineStr">
        <is>
          <t>High</t>
        </is>
      </c>
      <c r="I47" s="189" t="inlineStr">
        <is>
          <t>R. Chen</t>
        </is>
      </c>
      <c r="J47" s="196" t="inlineStr">
        <is>
          <t>Under Review</t>
        </is>
      </c>
      <c r="K47" s="189" t="n">
        <v>656</v>
      </c>
      <c r="L47" s="213" t="inlineStr">
        <is>
          <t>Round-tripping detected</t>
        </is>
      </c>
      <c r="M47" s="189" t="inlineStr">
        <is>
          <t>No</t>
        </is>
      </c>
      <c r="N47" s="189" t="inlineStr">
        <is>
          <t>Case Closed</t>
        </is>
      </c>
      <c r="O47" s="189" t="n"/>
    </row>
    <row r="48" ht="18" customHeight="1" s="126">
      <c r="A48" s="185" t="inlineStr">
        <is>
          <t>ALT20045</t>
        </is>
      </c>
      <c r="B48" s="185" t="inlineStr">
        <is>
          <t>CUST10045</t>
        </is>
      </c>
      <c r="C48" s="185" t="inlineStr">
        <is>
          <t>08/12/2024</t>
        </is>
      </c>
      <c r="D48" s="185" t="inlineStr">
        <is>
          <t>Tax Evasion Indicator</t>
        </is>
      </c>
      <c r="E48" s="185" t="n">
        <v>110000</v>
      </c>
      <c r="F48" s="185" t="inlineStr">
        <is>
          <t>GBP</t>
        </is>
      </c>
      <c r="G48" s="192" t="n">
        <v>85</v>
      </c>
      <c r="H48" s="214" t="inlineStr">
        <is>
          <t>Medium</t>
        </is>
      </c>
      <c r="I48" s="185" t="inlineStr">
        <is>
          <t>J. Smith</t>
        </is>
      </c>
      <c r="J48" s="191" t="inlineStr">
        <is>
          <t>Escalated</t>
        </is>
      </c>
      <c r="K48" s="185" t="n">
        <v>624</v>
      </c>
      <c r="L48" s="212" t="inlineStr">
        <is>
          <t>Beneficial owner not confirmed</t>
        </is>
      </c>
      <c r="M48" s="185" t="inlineStr">
        <is>
          <t>No</t>
        </is>
      </c>
      <c r="N48" s="185" t="inlineStr">
        <is>
          <t>No Action Required</t>
        </is>
      </c>
      <c r="O48" s="185" t="n"/>
    </row>
    <row r="49" ht="18" customHeight="1" s="126">
      <c r="A49" s="189" t="inlineStr">
        <is>
          <t>ALT20046</t>
        </is>
      </c>
      <c r="B49" s="189" t="inlineStr">
        <is>
          <t>CUST10046</t>
        </is>
      </c>
      <c r="C49" s="189" t="inlineStr">
        <is>
          <t>11/12/2024</t>
        </is>
      </c>
      <c r="D49" s="189" t="inlineStr">
        <is>
          <t>Structuring</t>
        </is>
      </c>
      <c r="E49" s="189" t="n">
        <v>6000</v>
      </c>
      <c r="F49" s="189" t="inlineStr">
        <is>
          <t>AED</t>
        </is>
      </c>
      <c r="G49" s="187" t="n">
        <v>60</v>
      </c>
      <c r="H49" s="192" t="inlineStr">
        <is>
          <t>High</t>
        </is>
      </c>
      <c r="I49" s="189" t="inlineStr">
        <is>
          <t>L. Wang</t>
        </is>
      </c>
      <c r="J49" s="188" t="inlineStr">
        <is>
          <t>Closed - SAR</t>
        </is>
      </c>
      <c r="K49" s="189" t="n">
        <v>2</v>
      </c>
      <c r="L49" s="213" t="inlineStr">
        <is>
          <t>Reviewing transaction pattern</t>
        </is>
      </c>
      <c r="M49" s="189" t="inlineStr">
        <is>
          <t>Yes</t>
        </is>
      </c>
      <c r="N49" s="189" t="inlineStr">
        <is>
          <t>Pending Documents</t>
        </is>
      </c>
      <c r="O49" s="189" t="inlineStr">
        <is>
          <t>26/12/2024</t>
        </is>
      </c>
    </row>
    <row r="50" ht="18" customHeight="1" s="126">
      <c r="A50" s="185" t="inlineStr">
        <is>
          <t>ALT20047</t>
        </is>
      </c>
      <c r="B50" s="185" t="inlineStr">
        <is>
          <t>CUST10047</t>
        </is>
      </c>
      <c r="C50" s="185" t="inlineStr">
        <is>
          <t>12/12/2024</t>
        </is>
      </c>
      <c r="D50" s="185" t="inlineStr">
        <is>
          <t>Unusual Wire Transfer</t>
        </is>
      </c>
      <c r="E50" s="185" t="n">
        <v>24500</v>
      </c>
      <c r="F50" s="185" t="inlineStr">
        <is>
          <t>INR</t>
        </is>
      </c>
      <c r="G50" s="194" t="n">
        <v>93</v>
      </c>
      <c r="H50" s="194" t="inlineStr">
        <is>
          <t>Critical</t>
        </is>
      </c>
      <c r="I50" s="185" t="inlineStr">
        <is>
          <t>P. Nair</t>
        </is>
      </c>
      <c r="J50" s="188" t="inlineStr">
        <is>
          <t>Closed - No Action</t>
        </is>
      </c>
      <c r="K50" s="185" t="n">
        <v>6</v>
      </c>
      <c r="L50" s="212" t="inlineStr">
        <is>
          <t>Documentation requested from customer</t>
        </is>
      </c>
      <c r="M50" s="185" t="inlineStr">
        <is>
          <t>No</t>
        </is>
      </c>
      <c r="N50" s="185" t="inlineStr">
        <is>
          <t>Referred to Authorities</t>
        </is>
      </c>
      <c r="O50" s="185" t="inlineStr">
        <is>
          <t>20/12/2024</t>
        </is>
      </c>
    </row>
    <row r="51" ht="18" customHeight="1" s="126">
      <c r="A51" s="189" t="inlineStr">
        <is>
          <t>ALT20048</t>
        </is>
      </c>
      <c r="B51" s="189" t="inlineStr">
        <is>
          <t>CUST10048</t>
        </is>
      </c>
      <c r="C51" s="189" t="inlineStr">
        <is>
          <t>13/12/2024</t>
        </is>
      </c>
      <c r="D51" s="189" t="inlineStr">
        <is>
          <t>Cash Threshold</t>
        </is>
      </c>
      <c r="E51" s="189" t="n">
        <v>150000</v>
      </c>
      <c r="F51" s="189" t="inlineStr">
        <is>
          <t>SGD</t>
        </is>
      </c>
      <c r="G51" s="192" t="n">
        <v>80</v>
      </c>
      <c r="H51" s="194" t="inlineStr">
        <is>
          <t>Critical</t>
        </is>
      </c>
      <c r="I51" s="189" t="inlineStr">
        <is>
          <t>F. Ahmed</t>
        </is>
      </c>
      <c r="J51" s="196" t="inlineStr">
        <is>
          <t>Pending Info</t>
        </is>
      </c>
      <c r="K51" s="189" t="n">
        <v>530</v>
      </c>
      <c r="L51" s="213" t="inlineStr">
        <is>
          <t>Escalated to MLRO for decision</t>
        </is>
      </c>
      <c r="M51" s="189" t="inlineStr">
        <is>
          <t>No</t>
        </is>
      </c>
      <c r="N51" s="189" t="inlineStr">
        <is>
          <t>Cleared</t>
        </is>
      </c>
      <c r="O51" s="189" t="n"/>
    </row>
    <row r="52" ht="18" customHeight="1" s="126">
      <c r="A52" s="185" t="inlineStr">
        <is>
          <t>ALT20049</t>
        </is>
      </c>
      <c r="B52" s="185" t="inlineStr">
        <is>
          <t>CUST10049</t>
        </is>
      </c>
      <c r="C52" s="185" t="inlineStr">
        <is>
          <t>19/12/2024</t>
        </is>
      </c>
      <c r="D52" s="185" t="inlineStr">
        <is>
          <t>Rapid Movement</t>
        </is>
      </c>
      <c r="E52" s="185" t="n">
        <v>110000</v>
      </c>
      <c r="F52" s="185" t="inlineStr">
        <is>
          <t>USD</t>
        </is>
      </c>
      <c r="G52" s="187" t="n">
        <v>70</v>
      </c>
      <c r="H52" s="214" t="inlineStr">
        <is>
          <t>Medium</t>
        </is>
      </c>
      <c r="I52" s="185" t="inlineStr">
        <is>
          <t>T. Obi</t>
        </is>
      </c>
      <c r="J52" s="191" t="inlineStr">
        <is>
          <t>Critical - Escalated</t>
        </is>
      </c>
      <c r="K52" s="185" t="n">
        <v>864</v>
      </c>
      <c r="L52" s="212" t="inlineStr">
        <is>
          <t>SAR filed to FIU — awaiting feedback</t>
        </is>
      </c>
      <c r="M52" s="185" t="inlineStr">
        <is>
          <t>No</t>
        </is>
      </c>
      <c r="N52" s="185" t="inlineStr">
        <is>
          <t>SAR Submitted</t>
        </is>
      </c>
      <c r="O52" s="185" t="n"/>
    </row>
    <row r="53" ht="18" customHeight="1" s="126">
      <c r="A53" s="189" t="inlineStr">
        <is>
          <t>ALT20050</t>
        </is>
      </c>
      <c r="B53" s="189" t="inlineStr">
        <is>
          <t>CUST10050</t>
        </is>
      </c>
      <c r="C53" s="189" t="inlineStr">
        <is>
          <t>21/12/2024</t>
        </is>
      </c>
      <c r="D53" s="189" t="inlineStr">
        <is>
          <t>Dormant Reactivation</t>
        </is>
      </c>
      <c r="E53" s="189" t="n">
        <v>38000</v>
      </c>
      <c r="F53" s="189" t="inlineStr">
        <is>
          <t>EUR</t>
        </is>
      </c>
      <c r="G53" s="187" t="n">
        <v>60</v>
      </c>
      <c r="H53" s="187" t="inlineStr">
        <is>
          <t>Low</t>
        </is>
      </c>
      <c r="I53" s="189" t="inlineStr">
        <is>
          <t>Head AML</t>
        </is>
      </c>
      <c r="J53" s="191" t="inlineStr">
        <is>
          <t>Open</t>
        </is>
      </c>
      <c r="K53" s="189" t="n">
        <v>832</v>
      </c>
      <c r="L53" s="213" t="inlineStr">
        <is>
          <t>Normal business activity confirmed</t>
        </is>
      </c>
      <c r="M53" s="189" t="inlineStr">
        <is>
          <t>Yes</t>
        </is>
      </c>
      <c r="N53" s="189" t="inlineStr">
        <is>
          <t>Monitoring</t>
        </is>
      </c>
      <c r="O53" s="189" t="n"/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25" min="1" max="1"/>
    <col width="10" customWidth="1" style="125" min="2" max="2"/>
    <col width="20" customWidth="1" style="125" min="3" max="3"/>
    <col width="25" customWidth="1" style="125" min="4" max="4"/>
    <col width="12" customWidth="1" style="125" min="5" max="6"/>
    <col width="15" customWidth="1" style="125" min="7" max="7"/>
    <col width="22" customWidth="1" style="125" min="8" max="8"/>
    <col width="13" customWidth="1" style="125" min="9" max="9"/>
    <col width="20" customWidth="1" style="125" min="10" max="10"/>
    <col width="14" customWidth="1" style="125" min="11" max="11"/>
    <col width="13" customWidth="1" style="125" min="12" max="12"/>
    <col width="14" customWidth="1" style="125" min="13" max="13"/>
    <col width="28" customWidth="1" style="125" min="14" max="14"/>
    <col width="14" customWidth="1" style="125" min="15" max="15"/>
  </cols>
  <sheetData>
    <row r="1" ht="39.75" customHeight="1" s="126">
      <c r="A1" s="215" t="inlineStr">
        <is>
          <t>ENHANCED DUE DILIGENCE (EDD) CASE MANAGEMENT  |  50 Cases</t>
        </is>
      </c>
    </row>
    <row r="2" ht="18" customHeight="1" s="126">
      <c r="A2" s="216" t="inlineStr">
        <is>
          <t>In-depth Review for High-Risk Customers, PEPs &amp; Complex Structures</t>
        </is>
      </c>
    </row>
    <row r="3" ht="19.5" customHeight="1" s="126">
      <c r="A3" s="217" t="inlineStr">
        <is>
          <t>Case ID</t>
        </is>
      </c>
      <c r="B3" s="217" t="inlineStr">
        <is>
          <t>Cust ID</t>
        </is>
      </c>
      <c r="C3" s="217" t="inlineStr">
        <is>
          <t>Customer Name</t>
        </is>
      </c>
      <c r="D3" s="217" t="inlineStr">
        <is>
          <t>EDD Reason</t>
        </is>
      </c>
      <c r="E3" s="217" t="inlineStr">
        <is>
          <t>Open Date</t>
        </is>
      </c>
      <c r="F3" s="217" t="inlineStr">
        <is>
          <t>Due Date</t>
        </is>
      </c>
      <c r="G3" s="217" t="inlineStr">
        <is>
          <t>Investigator</t>
        </is>
      </c>
      <c r="H3" s="217" t="inlineStr">
        <is>
          <t>Stage</t>
        </is>
      </c>
      <c r="I3" s="217" t="inlineStr">
        <is>
          <t>UBO Verified</t>
        </is>
      </c>
      <c r="J3" s="217" t="inlineStr">
        <is>
          <t>Source of Funds</t>
        </is>
      </c>
      <c r="K3" s="217" t="inlineStr">
        <is>
          <t>Net Worth ($K)</t>
        </is>
      </c>
      <c r="L3" s="217" t="inlineStr">
        <is>
          <t>Risk Rating</t>
        </is>
      </c>
      <c r="M3" s="217" t="inlineStr">
        <is>
          <t>Docs Collected</t>
        </is>
      </c>
      <c r="N3" s="217" t="inlineStr">
        <is>
          <t>Actions Required</t>
        </is>
      </c>
      <c r="O3" s="217" t="inlineStr">
        <is>
          <t>Status</t>
        </is>
      </c>
    </row>
    <row r="4" ht="16.5" customHeight="1" s="126">
      <c r="A4" s="218" t="inlineStr">
        <is>
          <t>EDD30001</t>
        </is>
      </c>
      <c r="B4" s="218" t="inlineStr">
        <is>
          <t>CUST10001</t>
        </is>
      </c>
      <c r="C4" s="219" t="inlineStr">
        <is>
          <t>Ahmed Al-Rashid</t>
        </is>
      </c>
      <c r="D4" s="218" t="inlineStr">
        <is>
          <t>PEP Customer</t>
        </is>
      </c>
      <c r="E4" s="218" t="inlineStr">
        <is>
          <t>13/07/2024</t>
        </is>
      </c>
      <c r="F4" s="218" t="inlineStr">
        <is>
          <t>08/08/2024</t>
        </is>
      </c>
      <c r="G4" s="218" t="inlineStr">
        <is>
          <t>A. Kumar</t>
        </is>
      </c>
      <c r="H4" s="218" t="inlineStr">
        <is>
          <t>Initial Review</t>
        </is>
      </c>
      <c r="I4" s="218" t="inlineStr">
        <is>
          <t>Yes</t>
        </is>
      </c>
      <c r="J4" s="218" t="inlineStr">
        <is>
          <t>Business Revenue</t>
        </is>
      </c>
      <c r="K4" s="218" t="n">
        <v>380</v>
      </c>
      <c r="L4" s="192" t="inlineStr">
        <is>
          <t>High</t>
        </is>
      </c>
      <c r="M4" s="218" t="inlineStr">
        <is>
          <t>7/10</t>
        </is>
      </c>
      <c r="N4" s="220" t="inlineStr">
        <is>
          <t>Verify UBO chain</t>
        </is>
      </c>
      <c r="O4" s="193" t="inlineStr">
        <is>
          <t>Open</t>
        </is>
      </c>
    </row>
    <row r="5" ht="16.5" customHeight="1" s="126">
      <c r="A5" s="189" t="inlineStr">
        <is>
          <t>EDD30002</t>
        </is>
      </c>
      <c r="B5" s="189" t="inlineStr">
        <is>
          <t>CUST10002</t>
        </is>
      </c>
      <c r="C5" s="190" t="inlineStr">
        <is>
          <t>Priya Sharma</t>
        </is>
      </c>
      <c r="D5" s="189" t="inlineStr">
        <is>
          <t>High Net Worth</t>
        </is>
      </c>
      <c r="E5" s="189" t="inlineStr">
        <is>
          <t>08/03/2024</t>
        </is>
      </c>
      <c r="F5" s="189" t="inlineStr">
        <is>
          <t>06/04/2024</t>
        </is>
      </c>
      <c r="G5" s="189" t="inlineStr">
        <is>
          <t>S. Patel</t>
        </is>
      </c>
      <c r="H5" s="189" t="inlineStr">
        <is>
          <t>Document Collection</t>
        </is>
      </c>
      <c r="I5" s="189" t="inlineStr">
        <is>
          <t>No</t>
        </is>
      </c>
      <c r="J5" s="189" t="inlineStr">
        <is>
          <t>Inheritance</t>
        </is>
      </c>
      <c r="K5" s="189" t="n">
        <v>650</v>
      </c>
      <c r="L5" s="194" t="inlineStr">
        <is>
          <t>Very High</t>
        </is>
      </c>
      <c r="M5" s="189" t="inlineStr">
        <is>
          <t>5/10</t>
        </is>
      </c>
      <c r="N5" s="213" t="inlineStr">
        <is>
          <t>Request 3yr bank statements</t>
        </is>
      </c>
      <c r="O5" s="196" t="inlineStr">
        <is>
          <t>In Progress</t>
        </is>
      </c>
    </row>
    <row r="6" ht="16.5" customHeight="1" s="126">
      <c r="A6" s="218" t="inlineStr">
        <is>
          <t>EDD30003</t>
        </is>
      </c>
      <c r="B6" s="218" t="inlineStr">
        <is>
          <t>CUST10003</t>
        </is>
      </c>
      <c r="C6" s="219" t="inlineStr">
        <is>
          <t>John O'Brien</t>
        </is>
      </c>
      <c r="D6" s="218" t="inlineStr">
        <is>
          <t>Cross-Border Transactions</t>
        </is>
      </c>
      <c r="E6" s="218" t="inlineStr">
        <is>
          <t>25/03/2024</t>
        </is>
      </c>
      <c r="F6" s="218" t="inlineStr">
        <is>
          <t>13/04/2024</t>
        </is>
      </c>
      <c r="G6" s="218" t="inlineStr">
        <is>
          <t>M. Ali</t>
        </is>
      </c>
      <c r="H6" s="218" t="inlineStr">
        <is>
          <t>UBO Analysis</t>
        </is>
      </c>
      <c r="I6" s="218" t="inlineStr">
        <is>
          <t>Partial</t>
        </is>
      </c>
      <c r="J6" s="218" t="inlineStr">
        <is>
          <t>Investment</t>
        </is>
      </c>
      <c r="K6" s="218" t="n">
        <v>1500</v>
      </c>
      <c r="L6" s="192" t="inlineStr">
        <is>
          <t>High</t>
        </is>
      </c>
      <c r="M6" s="218" t="inlineStr">
        <is>
          <t>5/10</t>
        </is>
      </c>
      <c r="N6" s="220" t="inlineStr">
        <is>
          <t>Obtain tax records</t>
        </is>
      </c>
      <c r="O6" s="191" t="inlineStr">
        <is>
          <t>Overdue</t>
        </is>
      </c>
    </row>
    <row r="7" ht="16.5" customHeight="1" s="126">
      <c r="A7" s="189" t="inlineStr">
        <is>
          <t>EDD30004</t>
        </is>
      </c>
      <c r="B7" s="189" t="inlineStr">
        <is>
          <t>CUST10004</t>
        </is>
      </c>
      <c r="C7" s="190" t="inlineStr">
        <is>
          <t>Liu Wei</t>
        </is>
      </c>
      <c r="D7" s="189" t="inlineStr">
        <is>
          <t>Complex Ownership</t>
        </is>
      </c>
      <c r="E7" s="189" t="inlineStr">
        <is>
          <t>24/05/2024</t>
        </is>
      </c>
      <c r="F7" s="189" t="inlineStr">
        <is>
          <t>01/07/2024</t>
        </is>
      </c>
      <c r="G7" s="189" t="inlineStr">
        <is>
          <t>R. Chen</t>
        </is>
      </c>
      <c r="H7" s="189" t="inlineStr">
        <is>
          <t>Source of Funds Verification</t>
        </is>
      </c>
      <c r="I7" s="189" t="inlineStr">
        <is>
          <t>Yes</t>
        </is>
      </c>
      <c r="J7" s="189" t="inlineStr">
        <is>
          <t>Employment</t>
        </is>
      </c>
      <c r="K7" s="189" t="n">
        <v>650</v>
      </c>
      <c r="L7" s="214" t="inlineStr">
        <is>
          <t>Medium-High</t>
        </is>
      </c>
      <c r="M7" s="189" t="inlineStr">
        <is>
          <t>8/10</t>
        </is>
      </c>
      <c r="N7" s="213" t="inlineStr">
        <is>
          <t>Confirm business license</t>
        </is>
      </c>
      <c r="O7" s="188" t="inlineStr">
        <is>
          <t>Completed</t>
        </is>
      </c>
    </row>
    <row r="8" ht="16.5" customHeight="1" s="126">
      <c r="A8" s="218" t="inlineStr">
        <is>
          <t>EDD30005</t>
        </is>
      </c>
      <c r="B8" s="218" t="inlineStr">
        <is>
          <t>CUST10005</t>
        </is>
      </c>
      <c r="C8" s="219" t="inlineStr">
        <is>
          <t>Fatima Al-Zahra</t>
        </is>
      </c>
      <c r="D8" s="218" t="inlineStr">
        <is>
          <t>Sanctions Adjacent</t>
        </is>
      </c>
      <c r="E8" s="218" t="inlineStr">
        <is>
          <t>22/09/2024</t>
        </is>
      </c>
      <c r="F8" s="218" t="inlineStr">
        <is>
          <t>11/10/2024</t>
        </is>
      </c>
      <c r="G8" s="218" t="inlineStr">
        <is>
          <t>J. Smith</t>
        </is>
      </c>
      <c r="H8" s="218" t="inlineStr">
        <is>
          <t>Risk Assessment</t>
        </is>
      </c>
      <c r="I8" s="218" t="inlineStr">
        <is>
          <t>No</t>
        </is>
      </c>
      <c r="J8" s="218" t="inlineStr">
        <is>
          <t>Property Sale</t>
        </is>
      </c>
      <c r="K8" s="218" t="n">
        <v>1800</v>
      </c>
      <c r="L8" s="194" t="inlineStr">
        <is>
          <t>Very High</t>
        </is>
      </c>
      <c r="M8" s="218" t="inlineStr">
        <is>
          <t>6/10</t>
        </is>
      </c>
      <c r="N8" s="220" t="inlineStr">
        <is>
          <t>Review corporate structure</t>
        </is>
      </c>
      <c r="O8" s="191" t="inlineStr">
        <is>
          <t>Escalated</t>
        </is>
      </c>
    </row>
    <row r="9" ht="16.5" customHeight="1" s="126">
      <c r="A9" s="189" t="inlineStr">
        <is>
          <t>EDD30006</t>
        </is>
      </c>
      <c r="B9" s="189" t="inlineStr">
        <is>
          <t>CUST10006</t>
        </is>
      </c>
      <c r="C9" s="190" t="inlineStr">
        <is>
          <t>Carlos Mendez</t>
        </is>
      </c>
      <c r="D9" s="189" t="inlineStr">
        <is>
          <t>Unusual Business Model</t>
        </is>
      </c>
      <c r="E9" s="189" t="inlineStr">
        <is>
          <t>07/08/2024</t>
        </is>
      </c>
      <c r="F9" s="189" t="inlineStr">
        <is>
          <t>16/09/2024</t>
        </is>
      </c>
      <c r="G9" s="189" t="inlineStr">
        <is>
          <t>L. Wang</t>
        </is>
      </c>
      <c r="H9" s="189" t="inlineStr">
        <is>
          <t>Senior Approval</t>
        </is>
      </c>
      <c r="I9" s="189" t="inlineStr">
        <is>
          <t>Partial</t>
        </is>
      </c>
      <c r="J9" s="189" t="inlineStr">
        <is>
          <t>Pension</t>
        </is>
      </c>
      <c r="K9" s="189" t="n">
        <v>900</v>
      </c>
      <c r="L9" s="192" t="inlineStr">
        <is>
          <t>High</t>
        </is>
      </c>
      <c r="M9" s="189" t="inlineStr">
        <is>
          <t>7/10</t>
        </is>
      </c>
      <c r="N9" s="213" t="inlineStr">
        <is>
          <t>Check adverse media</t>
        </is>
      </c>
      <c r="O9" s="196" t="inlineStr">
        <is>
          <t>Pending Docs</t>
        </is>
      </c>
    </row>
    <row r="10" ht="16.5" customHeight="1" s="126">
      <c r="A10" s="218" t="inlineStr">
        <is>
          <t>EDD30007</t>
        </is>
      </c>
      <c r="B10" s="218" t="inlineStr">
        <is>
          <t>CUST10007</t>
        </is>
      </c>
      <c r="C10" s="219" t="inlineStr">
        <is>
          <t>Anna Kowalski</t>
        </is>
      </c>
      <c r="D10" s="218" t="inlineStr">
        <is>
          <t>High-Risk Country</t>
        </is>
      </c>
      <c r="E10" s="218" t="inlineStr">
        <is>
          <t>26/04/2024</t>
        </is>
      </c>
      <c r="F10" s="218" t="inlineStr">
        <is>
          <t>02/06/2024</t>
        </is>
      </c>
      <c r="G10" s="218" t="inlineStr">
        <is>
          <t>P. Nair</t>
        </is>
      </c>
      <c r="H10" s="218" t="inlineStr">
        <is>
          <t>Completed</t>
        </is>
      </c>
      <c r="I10" s="218" t="inlineStr">
        <is>
          <t>Yes</t>
        </is>
      </c>
      <c r="J10" s="218" t="inlineStr">
        <is>
          <t>Trade Income</t>
        </is>
      </c>
      <c r="K10" s="218" t="n">
        <v>750</v>
      </c>
      <c r="L10" s="214" t="inlineStr">
        <is>
          <t>Medium-High</t>
        </is>
      </c>
      <c r="M10" s="218" t="inlineStr">
        <is>
          <t>2/10</t>
        </is>
      </c>
      <c r="N10" s="220" t="inlineStr">
        <is>
          <t>Obtain wealth declaration</t>
        </is>
      </c>
      <c r="O10" s="193" t="inlineStr">
        <is>
          <t>Open</t>
        </is>
      </c>
    </row>
    <row r="11" ht="16.5" customHeight="1" s="126">
      <c r="A11" s="189" t="inlineStr">
        <is>
          <t>EDD30008</t>
        </is>
      </c>
      <c r="B11" s="189" t="inlineStr">
        <is>
          <t>CUST10008</t>
        </is>
      </c>
      <c r="C11" s="190" t="inlineStr">
        <is>
          <t>Raj Patel</t>
        </is>
      </c>
      <c r="D11" s="189" t="inlineStr">
        <is>
          <t>Cash Intensive</t>
        </is>
      </c>
      <c r="E11" s="189" t="inlineStr">
        <is>
          <t>28/07/2024</t>
        </is>
      </c>
      <c r="F11" s="189" t="inlineStr">
        <is>
          <t>24/08/2024</t>
        </is>
      </c>
      <c r="G11" s="189" t="inlineStr">
        <is>
          <t>F. Ahmed</t>
        </is>
      </c>
      <c r="H11" s="189" t="inlineStr">
        <is>
          <t>Ongoing Monitoring</t>
        </is>
      </c>
      <c r="I11" s="189" t="inlineStr">
        <is>
          <t>No</t>
        </is>
      </c>
      <c r="J11" s="189" t="inlineStr">
        <is>
          <t>Unknown</t>
        </is>
      </c>
      <c r="K11" s="189" t="n">
        <v>900</v>
      </c>
      <c r="L11" s="192" t="inlineStr">
        <is>
          <t>High</t>
        </is>
      </c>
      <c r="M11" s="189" t="inlineStr">
        <is>
          <t>3/10</t>
        </is>
      </c>
      <c r="N11" s="213" t="inlineStr">
        <is>
          <t>Verify source of funds</t>
        </is>
      </c>
      <c r="O11" s="196" t="inlineStr">
        <is>
          <t>In Progress</t>
        </is>
      </c>
    </row>
    <row r="12" ht="16.5" customHeight="1" s="126">
      <c r="A12" s="218" t="inlineStr">
        <is>
          <t>EDD30009</t>
        </is>
      </c>
      <c r="B12" s="218" t="inlineStr">
        <is>
          <t>CUST10009</t>
        </is>
      </c>
      <c r="C12" s="219" t="inlineStr">
        <is>
          <t>Sophie Dubois</t>
        </is>
      </c>
      <c r="D12" s="218" t="inlineStr">
        <is>
          <t>Prior SAR</t>
        </is>
      </c>
      <c r="E12" s="218" t="inlineStr">
        <is>
          <t>15/03/2024</t>
        </is>
      </c>
      <c r="F12" s="218" t="inlineStr">
        <is>
          <t>09/04/2024</t>
        </is>
      </c>
      <c r="G12" s="218" t="inlineStr">
        <is>
          <t>T. Obi</t>
        </is>
      </c>
      <c r="H12" s="218" t="inlineStr">
        <is>
          <t>Initial Review</t>
        </is>
      </c>
      <c r="I12" s="218" t="inlineStr">
        <is>
          <t>Partial</t>
        </is>
      </c>
      <c r="J12" s="218" t="inlineStr">
        <is>
          <t>Remittance</t>
        </is>
      </c>
      <c r="K12" s="218" t="n">
        <v>750</v>
      </c>
      <c r="L12" s="194" t="inlineStr">
        <is>
          <t>Very High</t>
        </is>
      </c>
      <c r="M12" s="218" t="inlineStr">
        <is>
          <t>5/10</t>
        </is>
      </c>
      <c r="N12" s="220" t="inlineStr">
        <is>
          <t>None — case complete</t>
        </is>
      </c>
      <c r="O12" s="191" t="inlineStr">
        <is>
          <t>Overdue</t>
        </is>
      </c>
    </row>
    <row r="13" ht="16.5" customHeight="1" s="126">
      <c r="A13" s="189" t="inlineStr">
        <is>
          <t>EDD30010</t>
        </is>
      </c>
      <c r="B13" s="189" t="inlineStr">
        <is>
          <t>CUST10010</t>
        </is>
      </c>
      <c r="C13" s="190" t="inlineStr">
        <is>
          <t>Omar Hassan</t>
        </is>
      </c>
      <c r="D13" s="189" t="inlineStr">
        <is>
          <t>Adverse Media</t>
        </is>
      </c>
      <c r="E13" s="189" t="inlineStr">
        <is>
          <t>03/06/2024</t>
        </is>
      </c>
      <c r="F13" s="189" t="inlineStr">
        <is>
          <t>22/06/2024</t>
        </is>
      </c>
      <c r="G13" s="189" t="inlineStr">
        <is>
          <t>Head AML</t>
        </is>
      </c>
      <c r="H13" s="189" t="inlineStr">
        <is>
          <t>Document Collection</t>
        </is>
      </c>
      <c r="I13" s="189" t="inlineStr">
        <is>
          <t>Yes</t>
        </is>
      </c>
      <c r="J13" s="189" t="inlineStr">
        <is>
          <t>Loan Proceeds</t>
        </is>
      </c>
      <c r="K13" s="189" t="n">
        <v>6000</v>
      </c>
      <c r="L13" s="187" t="inlineStr">
        <is>
          <t>Medium</t>
        </is>
      </c>
      <c r="M13" s="189" t="inlineStr">
        <is>
          <t>6/10</t>
        </is>
      </c>
      <c r="N13" s="213" t="inlineStr">
        <is>
          <t>Escalate to MLRO</t>
        </is>
      </c>
      <c r="O13" s="188" t="inlineStr">
        <is>
          <t>Completed</t>
        </is>
      </c>
    </row>
    <row r="14" ht="16.5" customHeight="1" s="126">
      <c r="A14" s="218" t="inlineStr">
        <is>
          <t>EDD30011</t>
        </is>
      </c>
      <c r="B14" s="218" t="inlineStr">
        <is>
          <t>CUST10011</t>
        </is>
      </c>
      <c r="C14" s="219" t="inlineStr">
        <is>
          <t>Elena Ivanova</t>
        </is>
      </c>
      <c r="D14" s="218" t="inlineStr">
        <is>
          <t>PEP Customer</t>
        </is>
      </c>
      <c r="E14" s="218" t="inlineStr">
        <is>
          <t>11/08/2024</t>
        </is>
      </c>
      <c r="F14" s="218" t="inlineStr">
        <is>
          <t>19/09/2024</t>
        </is>
      </c>
      <c r="G14" s="218" t="inlineStr">
        <is>
          <t>A. Kumar</t>
        </is>
      </c>
      <c r="H14" s="218" t="inlineStr">
        <is>
          <t>UBO Analysis</t>
        </is>
      </c>
      <c r="I14" s="218" t="inlineStr">
        <is>
          <t>No</t>
        </is>
      </c>
      <c r="J14" s="218" t="inlineStr">
        <is>
          <t>Business Revenue</t>
        </is>
      </c>
      <c r="K14" s="218" t="n">
        <v>1800</v>
      </c>
      <c r="L14" s="192" t="inlineStr">
        <is>
          <t>High</t>
        </is>
      </c>
      <c r="M14" s="218" t="inlineStr">
        <is>
          <t>7/10</t>
        </is>
      </c>
      <c r="N14" s="220" t="inlineStr">
        <is>
          <t>Obtain board resolution</t>
        </is>
      </c>
      <c r="O14" s="191" t="inlineStr">
        <is>
          <t>Escalated</t>
        </is>
      </c>
    </row>
    <row r="15" ht="16.5" customHeight="1" s="126">
      <c r="A15" s="189" t="inlineStr">
        <is>
          <t>EDD30012</t>
        </is>
      </c>
      <c r="B15" s="189" t="inlineStr">
        <is>
          <t>CUST10012</t>
        </is>
      </c>
      <c r="C15" s="190" t="inlineStr">
        <is>
          <t>Michael Chen</t>
        </is>
      </c>
      <c r="D15" s="189" t="inlineStr">
        <is>
          <t>High Net Worth</t>
        </is>
      </c>
      <c r="E15" s="189" t="inlineStr">
        <is>
          <t>09/01/2024</t>
        </is>
      </c>
      <c r="F15" s="189" t="inlineStr">
        <is>
          <t>23/01/2024</t>
        </is>
      </c>
      <c r="G15" s="189" t="inlineStr">
        <is>
          <t>S. Patel</t>
        </is>
      </c>
      <c r="H15" s="189" t="inlineStr">
        <is>
          <t>Source of Funds Verification</t>
        </is>
      </c>
      <c r="I15" s="189" t="inlineStr">
        <is>
          <t>Partial</t>
        </is>
      </c>
      <c r="J15" s="189" t="inlineStr">
        <is>
          <t>Inheritance</t>
        </is>
      </c>
      <c r="K15" s="189" t="n">
        <v>750</v>
      </c>
      <c r="L15" s="194" t="inlineStr">
        <is>
          <t>Very High</t>
        </is>
      </c>
      <c r="M15" s="189" t="inlineStr">
        <is>
          <t>5/10</t>
        </is>
      </c>
      <c r="N15" s="213" t="inlineStr">
        <is>
          <t>Verify property ownership</t>
        </is>
      </c>
      <c r="O15" s="196" t="inlineStr">
        <is>
          <t>Pending Docs</t>
        </is>
      </c>
    </row>
    <row r="16" ht="16.5" customHeight="1" s="126">
      <c r="A16" s="218" t="inlineStr">
        <is>
          <t>EDD30013</t>
        </is>
      </c>
      <c r="B16" s="218" t="inlineStr">
        <is>
          <t>CUST10013</t>
        </is>
      </c>
      <c r="C16" s="219" t="inlineStr">
        <is>
          <t>Aisha Bakr</t>
        </is>
      </c>
      <c r="D16" s="218" t="inlineStr">
        <is>
          <t>Cross-Border Transactions</t>
        </is>
      </c>
      <c r="E16" s="218" t="inlineStr">
        <is>
          <t>07/07/2024</t>
        </is>
      </c>
      <c r="F16" s="218" t="inlineStr">
        <is>
          <t>13/08/2024</t>
        </is>
      </c>
      <c r="G16" s="218" t="inlineStr">
        <is>
          <t>M. Ali</t>
        </is>
      </c>
      <c r="H16" s="218" t="inlineStr">
        <is>
          <t>Risk Assessment</t>
        </is>
      </c>
      <c r="I16" s="218" t="inlineStr">
        <is>
          <t>Yes</t>
        </is>
      </c>
      <c r="J16" s="218" t="inlineStr">
        <is>
          <t>Investment</t>
        </is>
      </c>
      <c r="K16" s="218" t="n">
        <v>3000</v>
      </c>
      <c r="L16" s="192" t="inlineStr">
        <is>
          <t>High</t>
        </is>
      </c>
      <c r="M16" s="218" t="inlineStr">
        <is>
          <t>6/10</t>
        </is>
      </c>
      <c r="N16" s="220" t="inlineStr">
        <is>
          <t>Confirm employment letter</t>
        </is>
      </c>
      <c r="O16" s="193" t="inlineStr">
        <is>
          <t>Open</t>
        </is>
      </c>
    </row>
    <row r="17" ht="16.5" customHeight="1" s="126">
      <c r="A17" s="189" t="inlineStr">
        <is>
          <t>EDD30014</t>
        </is>
      </c>
      <c r="B17" s="189" t="inlineStr">
        <is>
          <t>CUST10014</t>
        </is>
      </c>
      <c r="C17" s="190" t="inlineStr">
        <is>
          <t>Pedro Alves</t>
        </is>
      </c>
      <c r="D17" s="189" t="inlineStr">
        <is>
          <t>Complex Ownership</t>
        </is>
      </c>
      <c r="E17" s="189" t="inlineStr">
        <is>
          <t>03/09/2024</t>
        </is>
      </c>
      <c r="F17" s="189" t="inlineStr">
        <is>
          <t>16/10/2024</t>
        </is>
      </c>
      <c r="G17" s="189" t="inlineStr">
        <is>
          <t>R. Chen</t>
        </is>
      </c>
      <c r="H17" s="189" t="inlineStr">
        <is>
          <t>Senior Approval</t>
        </is>
      </c>
      <c r="I17" s="189" t="inlineStr">
        <is>
          <t>No</t>
        </is>
      </c>
      <c r="J17" s="189" t="inlineStr">
        <is>
          <t>Employment</t>
        </is>
      </c>
      <c r="K17" s="189" t="n">
        <v>2500</v>
      </c>
      <c r="L17" s="214" t="inlineStr">
        <is>
          <t>Medium-High</t>
        </is>
      </c>
      <c r="M17" s="189" t="inlineStr">
        <is>
          <t>9/10</t>
        </is>
      </c>
      <c r="N17" s="213" t="inlineStr">
        <is>
          <t>Request audited accounts</t>
        </is>
      </c>
      <c r="O17" s="196" t="inlineStr">
        <is>
          <t>In Progress</t>
        </is>
      </c>
    </row>
    <row r="18" ht="16.5" customHeight="1" s="126">
      <c r="A18" s="218" t="inlineStr">
        <is>
          <t>EDD30015</t>
        </is>
      </c>
      <c r="B18" s="218" t="inlineStr">
        <is>
          <t>CUST10015</t>
        </is>
      </c>
      <c r="C18" s="219" t="inlineStr">
        <is>
          <t>Nadia Petrova</t>
        </is>
      </c>
      <c r="D18" s="218" t="inlineStr">
        <is>
          <t>Sanctions Adjacent</t>
        </is>
      </c>
      <c r="E18" s="218" t="inlineStr">
        <is>
          <t>07/09/2024</t>
        </is>
      </c>
      <c r="F18" s="218" t="inlineStr">
        <is>
          <t>20/10/2024</t>
        </is>
      </c>
      <c r="G18" s="218" t="inlineStr">
        <is>
          <t>J. Smith</t>
        </is>
      </c>
      <c r="H18" s="218" t="inlineStr">
        <is>
          <t>Completed</t>
        </is>
      </c>
      <c r="I18" s="218" t="inlineStr">
        <is>
          <t>Partial</t>
        </is>
      </c>
      <c r="J18" s="218" t="inlineStr">
        <is>
          <t>Property Sale</t>
        </is>
      </c>
      <c r="K18" s="218" t="n">
        <v>2200</v>
      </c>
      <c r="L18" s="194" t="inlineStr">
        <is>
          <t>Very High</t>
        </is>
      </c>
      <c r="M18" s="218" t="inlineStr">
        <is>
          <t>6/10</t>
        </is>
      </c>
      <c r="N18" s="220" t="inlineStr">
        <is>
          <t>None pending</t>
        </is>
      </c>
      <c r="O18" s="191" t="inlineStr">
        <is>
          <t>Overdue</t>
        </is>
      </c>
    </row>
    <row r="19" ht="16.5" customHeight="1" s="126">
      <c r="A19" s="189" t="inlineStr">
        <is>
          <t>EDD30016</t>
        </is>
      </c>
      <c r="B19" s="189" t="inlineStr">
        <is>
          <t>CUST10016</t>
        </is>
      </c>
      <c r="C19" s="190" t="inlineStr">
        <is>
          <t>James Okafor</t>
        </is>
      </c>
      <c r="D19" s="189" t="inlineStr">
        <is>
          <t>Unusual Business Model</t>
        </is>
      </c>
      <c r="E19" s="189" t="inlineStr">
        <is>
          <t>12/01/2024</t>
        </is>
      </c>
      <c r="F19" s="189" t="inlineStr">
        <is>
          <t>03/02/2024</t>
        </is>
      </c>
      <c r="G19" s="189" t="inlineStr">
        <is>
          <t>L. Wang</t>
        </is>
      </c>
      <c r="H19" s="189" t="inlineStr">
        <is>
          <t>Ongoing Monitoring</t>
        </is>
      </c>
      <c r="I19" s="189" t="inlineStr">
        <is>
          <t>Yes</t>
        </is>
      </c>
      <c r="J19" s="189" t="inlineStr">
        <is>
          <t>Pension</t>
        </is>
      </c>
      <c r="K19" s="189" t="n">
        <v>850</v>
      </c>
      <c r="L19" s="192" t="inlineStr">
        <is>
          <t>High</t>
        </is>
      </c>
      <c r="M19" s="189" t="inlineStr">
        <is>
          <t>2/10</t>
        </is>
      </c>
      <c r="N19" s="213" t="inlineStr">
        <is>
          <t>Verify UBO chain</t>
        </is>
      </c>
      <c r="O19" s="188" t="inlineStr">
        <is>
          <t>Completed</t>
        </is>
      </c>
    </row>
    <row r="20" ht="16.5" customHeight="1" s="126">
      <c r="A20" s="218" t="inlineStr">
        <is>
          <t>EDD30017</t>
        </is>
      </c>
      <c r="B20" s="218" t="inlineStr">
        <is>
          <t>CUST10017</t>
        </is>
      </c>
      <c r="C20" s="219" t="inlineStr">
        <is>
          <t>Mei Lin</t>
        </is>
      </c>
      <c r="D20" s="218" t="inlineStr">
        <is>
          <t>High-Risk Country</t>
        </is>
      </c>
      <c r="E20" s="218" t="inlineStr">
        <is>
          <t>23/04/2024</t>
        </is>
      </c>
      <c r="F20" s="218" t="inlineStr">
        <is>
          <t>17/05/2024</t>
        </is>
      </c>
      <c r="G20" s="218" t="inlineStr">
        <is>
          <t>P. Nair</t>
        </is>
      </c>
      <c r="H20" s="218" t="inlineStr">
        <is>
          <t>Initial Review</t>
        </is>
      </c>
      <c r="I20" s="218" t="inlineStr">
        <is>
          <t>No</t>
        </is>
      </c>
      <c r="J20" s="218" t="inlineStr">
        <is>
          <t>Trade Income</t>
        </is>
      </c>
      <c r="K20" s="218" t="n">
        <v>2200</v>
      </c>
      <c r="L20" s="214" t="inlineStr">
        <is>
          <t>Medium-High</t>
        </is>
      </c>
      <c r="M20" s="218" t="inlineStr">
        <is>
          <t>6/10</t>
        </is>
      </c>
      <c r="N20" s="220" t="inlineStr">
        <is>
          <t>Request 3yr bank statements</t>
        </is>
      </c>
      <c r="O20" s="191" t="inlineStr">
        <is>
          <t>Escalated</t>
        </is>
      </c>
    </row>
    <row r="21" ht="16.5" customHeight="1" s="126">
      <c r="A21" s="189" t="inlineStr">
        <is>
          <t>EDD30018</t>
        </is>
      </c>
      <c r="B21" s="189" t="inlineStr">
        <is>
          <t>CUST10018</t>
        </is>
      </c>
      <c r="C21" s="190" t="inlineStr">
        <is>
          <t>Roberto Ferrari</t>
        </is>
      </c>
      <c r="D21" s="189" t="inlineStr">
        <is>
          <t>Cash Intensive</t>
        </is>
      </c>
      <c r="E21" s="189" t="inlineStr">
        <is>
          <t>20/08/2024</t>
        </is>
      </c>
      <c r="F21" s="189" t="inlineStr">
        <is>
          <t>14/09/2024</t>
        </is>
      </c>
      <c r="G21" s="189" t="inlineStr">
        <is>
          <t>F. Ahmed</t>
        </is>
      </c>
      <c r="H21" s="189" t="inlineStr">
        <is>
          <t>Document Collection</t>
        </is>
      </c>
      <c r="I21" s="189" t="inlineStr">
        <is>
          <t>Partial</t>
        </is>
      </c>
      <c r="J21" s="189" t="inlineStr">
        <is>
          <t>Unknown</t>
        </is>
      </c>
      <c r="K21" s="189" t="n">
        <v>1200</v>
      </c>
      <c r="L21" s="192" t="inlineStr">
        <is>
          <t>High</t>
        </is>
      </c>
      <c r="M21" s="189" t="inlineStr">
        <is>
          <t>4/10</t>
        </is>
      </c>
      <c r="N21" s="213" t="inlineStr">
        <is>
          <t>Obtain tax records</t>
        </is>
      </c>
      <c r="O21" s="196" t="inlineStr">
        <is>
          <t>Pending Docs</t>
        </is>
      </c>
    </row>
    <row r="22" ht="16.5" customHeight="1" s="126">
      <c r="A22" s="218" t="inlineStr">
        <is>
          <t>EDD30019</t>
        </is>
      </c>
      <c r="B22" s="218" t="inlineStr">
        <is>
          <t>CUST10019</t>
        </is>
      </c>
      <c r="C22" s="219" t="inlineStr">
        <is>
          <t>Zara Khan</t>
        </is>
      </c>
      <c r="D22" s="218" t="inlineStr">
        <is>
          <t>Prior SAR</t>
        </is>
      </c>
      <c r="E22" s="218" t="inlineStr">
        <is>
          <t>02/03/2024</t>
        </is>
      </c>
      <c r="F22" s="218" t="inlineStr">
        <is>
          <t>23/03/2024</t>
        </is>
      </c>
      <c r="G22" s="218" t="inlineStr">
        <is>
          <t>T. Obi</t>
        </is>
      </c>
      <c r="H22" s="218" t="inlineStr">
        <is>
          <t>UBO Analysis</t>
        </is>
      </c>
      <c r="I22" s="218" t="inlineStr">
        <is>
          <t>Yes</t>
        </is>
      </c>
      <c r="J22" s="218" t="inlineStr">
        <is>
          <t>Remittance</t>
        </is>
      </c>
      <c r="K22" s="218" t="n">
        <v>650</v>
      </c>
      <c r="L22" s="194" t="inlineStr">
        <is>
          <t>Very High</t>
        </is>
      </c>
      <c r="M22" s="218" t="inlineStr">
        <is>
          <t>3/10</t>
        </is>
      </c>
      <c r="N22" s="220" t="inlineStr">
        <is>
          <t>Confirm business license</t>
        </is>
      </c>
      <c r="O22" s="193" t="inlineStr">
        <is>
          <t>Open</t>
        </is>
      </c>
    </row>
    <row r="23" ht="16.5" customHeight="1" s="126">
      <c r="A23" s="189" t="inlineStr">
        <is>
          <t>EDD30020</t>
        </is>
      </c>
      <c r="B23" s="189" t="inlineStr">
        <is>
          <t>CUST10020</t>
        </is>
      </c>
      <c r="C23" s="190" t="inlineStr">
        <is>
          <t>David Nakamura</t>
        </is>
      </c>
      <c r="D23" s="189" t="inlineStr">
        <is>
          <t>Adverse Media</t>
        </is>
      </c>
      <c r="E23" s="189" t="inlineStr">
        <is>
          <t>06/01/2024</t>
        </is>
      </c>
      <c r="F23" s="189" t="inlineStr">
        <is>
          <t>19/02/2024</t>
        </is>
      </c>
      <c r="G23" s="189" t="inlineStr">
        <is>
          <t>Head AML</t>
        </is>
      </c>
      <c r="H23" s="189" t="inlineStr">
        <is>
          <t>Source of Funds Verification</t>
        </is>
      </c>
      <c r="I23" s="189" t="inlineStr">
        <is>
          <t>No</t>
        </is>
      </c>
      <c r="J23" s="189" t="inlineStr">
        <is>
          <t>Loan Proceeds</t>
        </is>
      </c>
      <c r="K23" s="189" t="n">
        <v>1200</v>
      </c>
      <c r="L23" s="187" t="inlineStr">
        <is>
          <t>Medium</t>
        </is>
      </c>
      <c r="M23" s="189" t="inlineStr">
        <is>
          <t>4/10</t>
        </is>
      </c>
      <c r="N23" s="213" t="inlineStr">
        <is>
          <t>Review corporate structure</t>
        </is>
      </c>
      <c r="O23" s="196" t="inlineStr">
        <is>
          <t>In Progress</t>
        </is>
      </c>
    </row>
    <row r="24" ht="16.5" customHeight="1" s="126">
      <c r="A24" s="218" t="inlineStr">
        <is>
          <t>EDD30021</t>
        </is>
      </c>
      <c r="B24" s="218" t="inlineStr">
        <is>
          <t>CUST10021</t>
        </is>
      </c>
      <c r="C24" s="219" t="inlineStr">
        <is>
          <t>Hassan Al-Amin</t>
        </is>
      </c>
      <c r="D24" s="218" t="inlineStr">
        <is>
          <t>PEP Customer</t>
        </is>
      </c>
      <c r="E24" s="218" t="inlineStr">
        <is>
          <t>03/07/2024</t>
        </is>
      </c>
      <c r="F24" s="218" t="inlineStr">
        <is>
          <t>13/08/2024</t>
        </is>
      </c>
      <c r="G24" s="218" t="inlineStr">
        <is>
          <t>A. Kumar</t>
        </is>
      </c>
      <c r="H24" s="218" t="inlineStr">
        <is>
          <t>Risk Assessment</t>
        </is>
      </c>
      <c r="I24" s="218" t="inlineStr">
        <is>
          <t>Partial</t>
        </is>
      </c>
      <c r="J24" s="218" t="inlineStr">
        <is>
          <t>Business Revenue</t>
        </is>
      </c>
      <c r="K24" s="218" t="n">
        <v>650</v>
      </c>
      <c r="L24" s="192" t="inlineStr">
        <is>
          <t>High</t>
        </is>
      </c>
      <c r="M24" s="218" t="inlineStr">
        <is>
          <t>6/10</t>
        </is>
      </c>
      <c r="N24" s="220" t="inlineStr">
        <is>
          <t>Check adverse media</t>
        </is>
      </c>
      <c r="O24" s="191" t="inlineStr">
        <is>
          <t>Overdue</t>
        </is>
      </c>
    </row>
    <row r="25" ht="16.5" customHeight="1" s="126">
      <c r="A25" s="189" t="inlineStr">
        <is>
          <t>EDD30022</t>
        </is>
      </c>
      <c r="B25" s="189" t="inlineStr">
        <is>
          <t>CUST10022</t>
        </is>
      </c>
      <c r="C25" s="190" t="inlineStr">
        <is>
          <t>Sara Lindqvist</t>
        </is>
      </c>
      <c r="D25" s="189" t="inlineStr">
        <is>
          <t>High Net Worth</t>
        </is>
      </c>
      <c r="E25" s="189" t="inlineStr">
        <is>
          <t>05/02/2024</t>
        </is>
      </c>
      <c r="F25" s="189" t="inlineStr">
        <is>
          <t>09/03/2024</t>
        </is>
      </c>
      <c r="G25" s="189" t="inlineStr">
        <is>
          <t>S. Patel</t>
        </is>
      </c>
      <c r="H25" s="189" t="inlineStr">
        <is>
          <t>Senior Approval</t>
        </is>
      </c>
      <c r="I25" s="189" t="inlineStr">
        <is>
          <t>Yes</t>
        </is>
      </c>
      <c r="J25" s="189" t="inlineStr">
        <is>
          <t>Inheritance</t>
        </is>
      </c>
      <c r="K25" s="189" t="n">
        <v>850</v>
      </c>
      <c r="L25" s="194" t="inlineStr">
        <is>
          <t>Very High</t>
        </is>
      </c>
      <c r="M25" s="189" t="inlineStr">
        <is>
          <t>5/10</t>
        </is>
      </c>
      <c r="N25" s="213" t="inlineStr">
        <is>
          <t>Obtain wealth declaration</t>
        </is>
      </c>
      <c r="O25" s="188" t="inlineStr">
        <is>
          <t>Completed</t>
        </is>
      </c>
    </row>
    <row r="26" ht="16.5" customHeight="1" s="126">
      <c r="A26" s="218" t="inlineStr">
        <is>
          <t>EDD30023</t>
        </is>
      </c>
      <c r="B26" s="218" t="inlineStr">
        <is>
          <t>CUST10023</t>
        </is>
      </c>
      <c r="C26" s="219" t="inlineStr">
        <is>
          <t>Kwame Asante</t>
        </is>
      </c>
      <c r="D26" s="218" t="inlineStr">
        <is>
          <t>Cross-Border Transactions</t>
        </is>
      </c>
      <c r="E26" s="218" t="inlineStr">
        <is>
          <t>13/01/2024</t>
        </is>
      </c>
      <c r="F26" s="218" t="inlineStr">
        <is>
          <t>17/02/2024</t>
        </is>
      </c>
      <c r="G26" s="218" t="inlineStr">
        <is>
          <t>M. Ali</t>
        </is>
      </c>
      <c r="H26" s="218" t="inlineStr">
        <is>
          <t>Completed</t>
        </is>
      </c>
      <c r="I26" s="218" t="inlineStr">
        <is>
          <t>No</t>
        </is>
      </c>
      <c r="J26" s="218" t="inlineStr">
        <is>
          <t>Investment</t>
        </is>
      </c>
      <c r="K26" s="218" t="n">
        <v>1500</v>
      </c>
      <c r="L26" s="192" t="inlineStr">
        <is>
          <t>High</t>
        </is>
      </c>
      <c r="M26" s="218" t="inlineStr">
        <is>
          <t>5/10</t>
        </is>
      </c>
      <c r="N26" s="220" t="inlineStr">
        <is>
          <t>Verify source of funds</t>
        </is>
      </c>
      <c r="O26" s="191" t="inlineStr">
        <is>
          <t>Escalated</t>
        </is>
      </c>
    </row>
    <row r="27" ht="16.5" customHeight="1" s="126">
      <c r="A27" s="189" t="inlineStr">
        <is>
          <t>EDD30024</t>
        </is>
      </c>
      <c r="B27" s="189" t="inlineStr">
        <is>
          <t>CUST10024</t>
        </is>
      </c>
      <c r="C27" s="190" t="inlineStr">
        <is>
          <t>Lena Svensson</t>
        </is>
      </c>
      <c r="D27" s="189" t="inlineStr">
        <is>
          <t>Complex Ownership</t>
        </is>
      </c>
      <c r="E27" s="189" t="inlineStr">
        <is>
          <t>17/03/2024</t>
        </is>
      </c>
      <c r="F27" s="189" t="inlineStr">
        <is>
          <t>25/04/2024</t>
        </is>
      </c>
      <c r="G27" s="189" t="inlineStr">
        <is>
          <t>R. Chen</t>
        </is>
      </c>
      <c r="H27" s="189" t="inlineStr">
        <is>
          <t>Ongoing Monitoring</t>
        </is>
      </c>
      <c r="I27" s="189" t="inlineStr">
        <is>
          <t>Partial</t>
        </is>
      </c>
      <c r="J27" s="189" t="inlineStr">
        <is>
          <t>Employment</t>
        </is>
      </c>
      <c r="K27" s="189" t="n">
        <v>650</v>
      </c>
      <c r="L27" s="214" t="inlineStr">
        <is>
          <t>Medium-High</t>
        </is>
      </c>
      <c r="M27" s="189" t="inlineStr">
        <is>
          <t>9/10</t>
        </is>
      </c>
      <c r="N27" s="213" t="inlineStr">
        <is>
          <t>None — case complete</t>
        </is>
      </c>
      <c r="O27" s="196" t="inlineStr">
        <is>
          <t>Pending Docs</t>
        </is>
      </c>
    </row>
    <row r="28" ht="16.5" customHeight="1" s="126">
      <c r="A28" s="218" t="inlineStr">
        <is>
          <t>EDD30025</t>
        </is>
      </c>
      <c r="B28" s="218" t="inlineStr">
        <is>
          <t>CUST10025</t>
        </is>
      </c>
      <c r="C28" s="219" t="inlineStr">
        <is>
          <t>Felix Müller</t>
        </is>
      </c>
      <c r="D28" s="218" t="inlineStr">
        <is>
          <t>Sanctions Adjacent</t>
        </is>
      </c>
      <c r="E28" s="218" t="inlineStr">
        <is>
          <t>21/01/2024</t>
        </is>
      </c>
      <c r="F28" s="218" t="inlineStr">
        <is>
          <t>17/02/2024</t>
        </is>
      </c>
      <c r="G28" s="218" t="inlineStr">
        <is>
          <t>J. Smith</t>
        </is>
      </c>
      <c r="H28" s="218" t="inlineStr">
        <is>
          <t>Initial Review</t>
        </is>
      </c>
      <c r="I28" s="218" t="inlineStr">
        <is>
          <t>Yes</t>
        </is>
      </c>
      <c r="J28" s="218" t="inlineStr">
        <is>
          <t>Property Sale</t>
        </is>
      </c>
      <c r="K28" s="218" t="n">
        <v>650</v>
      </c>
      <c r="L28" s="194" t="inlineStr">
        <is>
          <t>Very High</t>
        </is>
      </c>
      <c r="M28" s="218" t="inlineStr">
        <is>
          <t>2/10</t>
        </is>
      </c>
      <c r="N28" s="220" t="inlineStr">
        <is>
          <t>Escalate to MLRO</t>
        </is>
      </c>
      <c r="O28" s="193" t="inlineStr">
        <is>
          <t>Completed</t>
        </is>
      </c>
    </row>
    <row r="29" ht="16.5" customHeight="1" s="126">
      <c r="A29" s="189" t="inlineStr">
        <is>
          <t>EDD30026</t>
        </is>
      </c>
      <c r="B29" s="189" t="inlineStr">
        <is>
          <t>CUST10026</t>
        </is>
      </c>
      <c r="C29" s="190" t="inlineStr">
        <is>
          <t>Amara Diallo</t>
        </is>
      </c>
      <c r="D29" s="189" t="inlineStr">
        <is>
          <t>Unusual Business Model</t>
        </is>
      </c>
      <c r="E29" s="189" t="inlineStr">
        <is>
          <t>09/08/2024</t>
        </is>
      </c>
      <c r="F29" s="189" t="inlineStr">
        <is>
          <t>17/09/2024</t>
        </is>
      </c>
      <c r="G29" s="189" t="inlineStr">
        <is>
          <t>L. Wang</t>
        </is>
      </c>
      <c r="H29" s="189" t="inlineStr">
        <is>
          <t>Document Collection</t>
        </is>
      </c>
      <c r="I29" s="189" t="inlineStr">
        <is>
          <t>No</t>
        </is>
      </c>
      <c r="J29" s="189" t="inlineStr">
        <is>
          <t>Pension</t>
        </is>
      </c>
      <c r="K29" s="189" t="n">
        <v>750</v>
      </c>
      <c r="L29" s="192" t="inlineStr">
        <is>
          <t>High</t>
        </is>
      </c>
      <c r="M29" s="189" t="inlineStr">
        <is>
          <t>8/10</t>
        </is>
      </c>
      <c r="N29" s="213" t="inlineStr">
        <is>
          <t>Obtain board resolution</t>
        </is>
      </c>
      <c r="O29" s="196" t="inlineStr">
        <is>
          <t>In Progress</t>
        </is>
      </c>
    </row>
    <row r="30" ht="16.5" customHeight="1" s="126">
      <c r="A30" s="218" t="inlineStr">
        <is>
          <t>EDD30027</t>
        </is>
      </c>
      <c r="B30" s="218" t="inlineStr">
        <is>
          <t>CUST10027</t>
        </is>
      </c>
      <c r="C30" s="219" t="inlineStr">
        <is>
          <t>Ricardo Santos</t>
        </is>
      </c>
      <c r="D30" s="218" t="inlineStr">
        <is>
          <t>High-Risk Country</t>
        </is>
      </c>
      <c r="E30" s="218" t="inlineStr">
        <is>
          <t>12/03/2024</t>
        </is>
      </c>
      <c r="F30" s="218" t="inlineStr">
        <is>
          <t>25/04/2024</t>
        </is>
      </c>
      <c r="G30" s="218" t="inlineStr">
        <is>
          <t>P. Nair</t>
        </is>
      </c>
      <c r="H30" s="218" t="inlineStr">
        <is>
          <t>UBO Analysis</t>
        </is>
      </c>
      <c r="I30" s="218" t="inlineStr">
        <is>
          <t>Partial</t>
        </is>
      </c>
      <c r="J30" s="218" t="inlineStr">
        <is>
          <t>Trade Income</t>
        </is>
      </c>
      <c r="K30" s="218" t="n">
        <v>650</v>
      </c>
      <c r="L30" s="214" t="inlineStr">
        <is>
          <t>Medium-High</t>
        </is>
      </c>
      <c r="M30" s="218" t="inlineStr">
        <is>
          <t>2/10</t>
        </is>
      </c>
      <c r="N30" s="220" t="inlineStr">
        <is>
          <t>Verify property ownership</t>
        </is>
      </c>
      <c r="O30" s="191" t="inlineStr">
        <is>
          <t>Overdue</t>
        </is>
      </c>
    </row>
    <row r="31" ht="16.5" customHeight="1" s="126">
      <c r="A31" s="189" t="inlineStr">
        <is>
          <t>EDD30028</t>
        </is>
      </c>
      <c r="B31" s="189" t="inlineStr">
        <is>
          <t>CUST10028</t>
        </is>
      </c>
      <c r="C31" s="190" t="inlineStr">
        <is>
          <t>Priya Kapoor</t>
        </is>
      </c>
      <c r="D31" s="189" t="inlineStr">
        <is>
          <t>Cash Intensive</t>
        </is>
      </c>
      <c r="E31" s="189" t="inlineStr">
        <is>
          <t>05/01/2024</t>
        </is>
      </c>
      <c r="F31" s="189" t="inlineStr">
        <is>
          <t>28/01/2024</t>
        </is>
      </c>
      <c r="G31" s="189" t="inlineStr">
        <is>
          <t>F. Ahmed</t>
        </is>
      </c>
      <c r="H31" s="189" t="inlineStr">
        <is>
          <t>Source of Funds Verification</t>
        </is>
      </c>
      <c r="I31" s="189" t="inlineStr">
        <is>
          <t>Yes</t>
        </is>
      </c>
      <c r="J31" s="189" t="inlineStr">
        <is>
          <t>Unknown</t>
        </is>
      </c>
      <c r="K31" s="189" t="n">
        <v>300</v>
      </c>
      <c r="L31" s="192" t="inlineStr">
        <is>
          <t>High</t>
        </is>
      </c>
      <c r="M31" s="189" t="inlineStr">
        <is>
          <t>7/10</t>
        </is>
      </c>
      <c r="N31" s="213" t="inlineStr">
        <is>
          <t>Confirm employment letter</t>
        </is>
      </c>
      <c r="O31" s="188" t="inlineStr">
        <is>
          <t>Completed</t>
        </is>
      </c>
    </row>
    <row r="32" ht="16.5" customHeight="1" s="126">
      <c r="A32" s="218" t="inlineStr">
        <is>
          <t>EDD30029</t>
        </is>
      </c>
      <c r="B32" s="218" t="inlineStr">
        <is>
          <t>CUST10029</t>
        </is>
      </c>
      <c r="C32" s="219" t="inlineStr">
        <is>
          <t>Dmitri Volkov</t>
        </is>
      </c>
      <c r="D32" s="218" t="inlineStr">
        <is>
          <t>Prior SAR</t>
        </is>
      </c>
      <c r="E32" s="218" t="inlineStr">
        <is>
          <t>04/07/2024</t>
        </is>
      </c>
      <c r="F32" s="218" t="inlineStr">
        <is>
          <t>24/07/2024</t>
        </is>
      </c>
      <c r="G32" s="218" t="inlineStr">
        <is>
          <t>T. Obi</t>
        </is>
      </c>
      <c r="H32" s="218" t="inlineStr">
        <is>
          <t>Risk Assessment</t>
        </is>
      </c>
      <c r="I32" s="218" t="inlineStr">
        <is>
          <t>No</t>
        </is>
      </c>
      <c r="J32" s="218" t="inlineStr">
        <is>
          <t>Remittance</t>
        </is>
      </c>
      <c r="K32" s="218" t="n">
        <v>1800</v>
      </c>
      <c r="L32" s="194" t="inlineStr">
        <is>
          <t>Very High</t>
        </is>
      </c>
      <c r="M32" s="218" t="inlineStr">
        <is>
          <t>6/10</t>
        </is>
      </c>
      <c r="N32" s="220" t="inlineStr">
        <is>
          <t>Request audited accounts</t>
        </is>
      </c>
      <c r="O32" s="191" t="inlineStr">
        <is>
          <t>Escalated</t>
        </is>
      </c>
    </row>
    <row r="33" ht="16.5" customHeight="1" s="126">
      <c r="A33" s="189" t="inlineStr">
        <is>
          <t>EDD30030</t>
        </is>
      </c>
      <c r="B33" s="189" t="inlineStr">
        <is>
          <t>CUST10030</t>
        </is>
      </c>
      <c r="C33" s="190" t="inlineStr">
        <is>
          <t>Aiko Tanaka</t>
        </is>
      </c>
      <c r="D33" s="189" t="inlineStr">
        <is>
          <t>Adverse Media</t>
        </is>
      </c>
      <c r="E33" s="189" t="inlineStr">
        <is>
          <t>06/05/2024</t>
        </is>
      </c>
      <c r="F33" s="189" t="inlineStr">
        <is>
          <t>31/05/2024</t>
        </is>
      </c>
      <c r="G33" s="189" t="inlineStr">
        <is>
          <t>Head AML</t>
        </is>
      </c>
      <c r="H33" s="189" t="inlineStr">
        <is>
          <t>Senior Approval</t>
        </is>
      </c>
      <c r="I33" s="189" t="inlineStr">
        <is>
          <t>Partial</t>
        </is>
      </c>
      <c r="J33" s="189" t="inlineStr">
        <is>
          <t>Loan Proceeds</t>
        </is>
      </c>
      <c r="K33" s="189" t="n">
        <v>2500</v>
      </c>
      <c r="L33" s="187" t="inlineStr">
        <is>
          <t>Medium</t>
        </is>
      </c>
      <c r="M33" s="189" t="inlineStr">
        <is>
          <t>9/10</t>
        </is>
      </c>
      <c r="N33" s="213" t="inlineStr">
        <is>
          <t>None pending</t>
        </is>
      </c>
      <c r="O33" s="196" t="inlineStr">
        <is>
          <t>Pending Docs</t>
        </is>
      </c>
    </row>
    <row r="34" ht="16.5" customHeight="1" s="126">
      <c r="A34" s="218" t="inlineStr">
        <is>
          <t>EDD30031</t>
        </is>
      </c>
      <c r="B34" s="218" t="inlineStr">
        <is>
          <t>CUST10031</t>
        </is>
      </c>
      <c r="C34" s="219" t="inlineStr">
        <is>
          <t>Ibrahim Al-Farsi</t>
        </is>
      </c>
      <c r="D34" s="218" t="inlineStr">
        <is>
          <t>PEP Customer</t>
        </is>
      </c>
      <c r="E34" s="218" t="inlineStr">
        <is>
          <t>05/07/2024</t>
        </is>
      </c>
      <c r="F34" s="218" t="inlineStr">
        <is>
          <t>01/08/2024</t>
        </is>
      </c>
      <c r="G34" s="218" t="inlineStr">
        <is>
          <t>A. Kumar</t>
        </is>
      </c>
      <c r="H34" s="218" t="inlineStr">
        <is>
          <t>Completed</t>
        </is>
      </c>
      <c r="I34" s="218" t="inlineStr">
        <is>
          <t>Yes</t>
        </is>
      </c>
      <c r="J34" s="218" t="inlineStr">
        <is>
          <t>Business Revenue</t>
        </is>
      </c>
      <c r="K34" s="218" t="n">
        <v>2200</v>
      </c>
      <c r="L34" s="192" t="inlineStr">
        <is>
          <t>High</t>
        </is>
      </c>
      <c r="M34" s="218" t="inlineStr">
        <is>
          <t>8/10</t>
        </is>
      </c>
      <c r="N34" s="220" t="inlineStr">
        <is>
          <t>Verify UBO chain</t>
        </is>
      </c>
      <c r="O34" s="193" t="inlineStr">
        <is>
          <t>Completed</t>
        </is>
      </c>
    </row>
    <row r="35" ht="16.5" customHeight="1" s="126">
      <c r="A35" s="189" t="inlineStr">
        <is>
          <t>EDD30032</t>
        </is>
      </c>
      <c r="B35" s="189" t="inlineStr">
        <is>
          <t>CUST10032</t>
        </is>
      </c>
      <c r="C35" s="190" t="inlineStr">
        <is>
          <t>Grace Osei</t>
        </is>
      </c>
      <c r="D35" s="189" t="inlineStr">
        <is>
          <t>High Net Worth</t>
        </is>
      </c>
      <c r="E35" s="189" t="inlineStr">
        <is>
          <t>11/09/2024</t>
        </is>
      </c>
      <c r="F35" s="189" t="inlineStr">
        <is>
          <t>26/10/2024</t>
        </is>
      </c>
      <c r="G35" s="189" t="inlineStr">
        <is>
          <t>S. Patel</t>
        </is>
      </c>
      <c r="H35" s="189" t="inlineStr">
        <is>
          <t>Ongoing Monitoring</t>
        </is>
      </c>
      <c r="I35" s="189" t="inlineStr">
        <is>
          <t>No</t>
        </is>
      </c>
      <c r="J35" s="189" t="inlineStr">
        <is>
          <t>Inheritance</t>
        </is>
      </c>
      <c r="K35" s="189" t="n">
        <v>2200</v>
      </c>
      <c r="L35" s="194" t="inlineStr">
        <is>
          <t>Very High</t>
        </is>
      </c>
      <c r="M35" s="189" t="inlineStr">
        <is>
          <t>2/10</t>
        </is>
      </c>
      <c r="N35" s="213" t="inlineStr">
        <is>
          <t>Request 3yr bank statements</t>
        </is>
      </c>
      <c r="O35" s="196" t="inlineStr">
        <is>
          <t>In Progress</t>
        </is>
      </c>
    </row>
    <row r="36" ht="16.5" customHeight="1" s="126">
      <c r="A36" s="218" t="inlineStr">
        <is>
          <t>EDD30033</t>
        </is>
      </c>
      <c r="B36" s="218" t="inlineStr">
        <is>
          <t>CUST10033</t>
        </is>
      </c>
      <c r="C36" s="219" t="inlineStr">
        <is>
          <t>Viktor Kozlov</t>
        </is>
      </c>
      <c r="D36" s="218" t="inlineStr">
        <is>
          <t>Cross-Border Transactions</t>
        </is>
      </c>
      <c r="E36" s="218" t="inlineStr">
        <is>
          <t>28/04/2024</t>
        </is>
      </c>
      <c r="F36" s="218" t="inlineStr">
        <is>
          <t>28/05/2024</t>
        </is>
      </c>
      <c r="G36" s="218" t="inlineStr">
        <is>
          <t>M. Ali</t>
        </is>
      </c>
      <c r="H36" s="218" t="inlineStr">
        <is>
          <t>Initial Review</t>
        </is>
      </c>
      <c r="I36" s="218" t="inlineStr">
        <is>
          <t>Partial</t>
        </is>
      </c>
      <c r="J36" s="218" t="inlineStr">
        <is>
          <t>Investment</t>
        </is>
      </c>
      <c r="K36" s="218" t="n">
        <v>1200</v>
      </c>
      <c r="L36" s="192" t="inlineStr">
        <is>
          <t>High</t>
        </is>
      </c>
      <c r="M36" s="218" t="inlineStr">
        <is>
          <t>3/10</t>
        </is>
      </c>
      <c r="N36" s="220" t="inlineStr">
        <is>
          <t>Obtain tax records</t>
        </is>
      </c>
      <c r="O36" s="191" t="inlineStr">
        <is>
          <t>Completed</t>
        </is>
      </c>
    </row>
    <row r="37" ht="16.5" customHeight="1" s="126">
      <c r="A37" s="189" t="inlineStr">
        <is>
          <t>EDD30034</t>
        </is>
      </c>
      <c r="B37" s="189" t="inlineStr">
        <is>
          <t>CUST10034</t>
        </is>
      </c>
      <c r="C37" s="190" t="inlineStr">
        <is>
          <t>Chen Holdings Ltd</t>
        </is>
      </c>
      <c r="D37" s="189" t="inlineStr">
        <is>
          <t>Complex Ownership</t>
        </is>
      </c>
      <c r="E37" s="189" t="inlineStr">
        <is>
          <t>28/02/2024</t>
        </is>
      </c>
      <c r="F37" s="189" t="inlineStr">
        <is>
          <t>05/04/2024</t>
        </is>
      </c>
      <c r="G37" s="189" t="inlineStr">
        <is>
          <t>R. Chen</t>
        </is>
      </c>
      <c r="H37" s="189" t="inlineStr">
        <is>
          <t>Document Collection</t>
        </is>
      </c>
      <c r="I37" s="189" t="inlineStr">
        <is>
          <t>Yes</t>
        </is>
      </c>
      <c r="J37" s="189" t="inlineStr">
        <is>
          <t>Employment</t>
        </is>
      </c>
      <c r="K37" s="189" t="n">
        <v>1800</v>
      </c>
      <c r="L37" s="214" t="inlineStr">
        <is>
          <t>Medium-High</t>
        </is>
      </c>
      <c r="M37" s="189" t="inlineStr">
        <is>
          <t>2/10</t>
        </is>
      </c>
      <c r="N37" s="213" t="inlineStr">
        <is>
          <t>Confirm business license</t>
        </is>
      </c>
      <c r="O37" s="188" t="inlineStr">
        <is>
          <t>Completed</t>
        </is>
      </c>
    </row>
    <row r="38" ht="16.5" customHeight="1" s="126">
      <c r="A38" s="218" t="inlineStr">
        <is>
          <t>EDD30035</t>
        </is>
      </c>
      <c r="B38" s="218" t="inlineStr">
        <is>
          <t>CUST10035</t>
        </is>
      </c>
      <c r="C38" s="219" t="inlineStr">
        <is>
          <t>Layla Nasser</t>
        </is>
      </c>
      <c r="D38" s="218" t="inlineStr">
        <is>
          <t>Sanctions Adjacent</t>
        </is>
      </c>
      <c r="E38" s="218" t="inlineStr">
        <is>
          <t>22/03/2024</t>
        </is>
      </c>
      <c r="F38" s="218" t="inlineStr">
        <is>
          <t>09/04/2024</t>
        </is>
      </c>
      <c r="G38" s="218" t="inlineStr">
        <is>
          <t>J. Smith</t>
        </is>
      </c>
      <c r="H38" s="218" t="inlineStr">
        <is>
          <t>UBO Analysis</t>
        </is>
      </c>
      <c r="I38" s="218" t="inlineStr">
        <is>
          <t>No</t>
        </is>
      </c>
      <c r="J38" s="218" t="inlineStr">
        <is>
          <t>Property Sale</t>
        </is>
      </c>
      <c r="K38" s="218" t="n">
        <v>3000</v>
      </c>
      <c r="L38" s="194" t="inlineStr">
        <is>
          <t>Very High</t>
        </is>
      </c>
      <c r="M38" s="218" t="inlineStr">
        <is>
          <t>4/10</t>
        </is>
      </c>
      <c r="N38" s="220" t="inlineStr">
        <is>
          <t>Review corporate structure</t>
        </is>
      </c>
      <c r="O38" s="191" t="inlineStr">
        <is>
          <t>Escalated</t>
        </is>
      </c>
    </row>
    <row r="39" ht="16.5" customHeight="1" s="126">
      <c r="A39" s="189" t="inlineStr">
        <is>
          <t>EDD30036</t>
        </is>
      </c>
      <c r="B39" s="189" t="inlineStr">
        <is>
          <t>CUST10036</t>
        </is>
      </c>
      <c r="C39" s="190" t="inlineStr">
        <is>
          <t>Isabella Costa</t>
        </is>
      </c>
      <c r="D39" s="189" t="inlineStr">
        <is>
          <t>Unusual Business Model</t>
        </is>
      </c>
      <c r="E39" s="189" t="inlineStr">
        <is>
          <t>10/09/2024</t>
        </is>
      </c>
      <c r="F39" s="189" t="inlineStr">
        <is>
          <t>24/09/2024</t>
        </is>
      </c>
      <c r="G39" s="189" t="inlineStr">
        <is>
          <t>L. Wang</t>
        </is>
      </c>
      <c r="H39" s="189" t="inlineStr">
        <is>
          <t>Source of Funds Verification</t>
        </is>
      </c>
      <c r="I39" s="189" t="inlineStr">
        <is>
          <t>Partial</t>
        </is>
      </c>
      <c r="J39" s="189" t="inlineStr">
        <is>
          <t>Pension</t>
        </is>
      </c>
      <c r="K39" s="189" t="n">
        <v>700</v>
      </c>
      <c r="L39" s="192" t="inlineStr">
        <is>
          <t>High</t>
        </is>
      </c>
      <c r="M39" s="189" t="inlineStr">
        <is>
          <t>4/10</t>
        </is>
      </c>
      <c r="N39" s="213" t="inlineStr">
        <is>
          <t>Check adverse media</t>
        </is>
      </c>
      <c r="O39" s="196" t="inlineStr">
        <is>
          <t>Pending Docs</t>
        </is>
      </c>
    </row>
    <row r="40" ht="16.5" customHeight="1" s="126">
      <c r="A40" s="218" t="inlineStr">
        <is>
          <t>EDD30037</t>
        </is>
      </c>
      <c r="B40" s="218" t="inlineStr">
        <is>
          <t>CUST10037</t>
        </is>
      </c>
      <c r="C40" s="219" t="inlineStr">
        <is>
          <t>Mohammed Al-Sayed</t>
        </is>
      </c>
      <c r="D40" s="218" t="inlineStr">
        <is>
          <t>High-Risk Country</t>
        </is>
      </c>
      <c r="E40" s="218" t="inlineStr">
        <is>
          <t>11/01/2024</t>
        </is>
      </c>
      <c r="F40" s="218" t="inlineStr">
        <is>
          <t>07/02/2024</t>
        </is>
      </c>
      <c r="G40" s="218" t="inlineStr">
        <is>
          <t>P. Nair</t>
        </is>
      </c>
      <c r="H40" s="218" t="inlineStr">
        <is>
          <t>Risk Assessment</t>
        </is>
      </c>
      <c r="I40" s="218" t="inlineStr">
        <is>
          <t>Yes</t>
        </is>
      </c>
      <c r="J40" s="218" t="inlineStr">
        <is>
          <t>Trade Income</t>
        </is>
      </c>
      <c r="K40" s="218" t="n">
        <v>500</v>
      </c>
      <c r="L40" s="214" t="inlineStr">
        <is>
          <t>Medium-High</t>
        </is>
      </c>
      <c r="M40" s="218" t="inlineStr">
        <is>
          <t>6/10</t>
        </is>
      </c>
      <c r="N40" s="220" t="inlineStr">
        <is>
          <t>Obtain wealth declaration</t>
        </is>
      </c>
      <c r="O40" s="193" t="inlineStr">
        <is>
          <t>Completed</t>
        </is>
      </c>
    </row>
    <row r="41" ht="16.5" customHeight="1" s="126">
      <c r="A41" s="189" t="inlineStr">
        <is>
          <t>EDD30038</t>
        </is>
      </c>
      <c r="B41" s="189" t="inlineStr">
        <is>
          <t>CUST10038</t>
        </is>
      </c>
      <c r="C41" s="190" t="inlineStr">
        <is>
          <t>Elena Marchetti</t>
        </is>
      </c>
      <c r="D41" s="189" t="inlineStr">
        <is>
          <t>Cash Intensive</t>
        </is>
      </c>
      <c r="E41" s="189" t="inlineStr">
        <is>
          <t>27/06/2024</t>
        </is>
      </c>
      <c r="F41" s="189" t="inlineStr">
        <is>
          <t>05/08/2024</t>
        </is>
      </c>
      <c r="G41" s="189" t="inlineStr">
        <is>
          <t>F. Ahmed</t>
        </is>
      </c>
      <c r="H41" s="189" t="inlineStr">
        <is>
          <t>Senior Approval</t>
        </is>
      </c>
      <c r="I41" s="189" t="inlineStr">
        <is>
          <t>No</t>
        </is>
      </c>
      <c r="J41" s="189" t="inlineStr">
        <is>
          <t>Unknown</t>
        </is>
      </c>
      <c r="K41" s="189" t="n">
        <v>3000</v>
      </c>
      <c r="L41" s="192" t="inlineStr">
        <is>
          <t>High</t>
        </is>
      </c>
      <c r="M41" s="189" t="inlineStr">
        <is>
          <t>2/10</t>
        </is>
      </c>
      <c r="N41" s="213" t="inlineStr">
        <is>
          <t>Verify source of funds</t>
        </is>
      </c>
      <c r="O41" s="196" t="inlineStr">
        <is>
          <t>In Progress</t>
        </is>
      </c>
    </row>
    <row r="42" ht="16.5" customHeight="1" s="126">
      <c r="A42" s="218" t="inlineStr">
        <is>
          <t>EDD30039</t>
        </is>
      </c>
      <c r="B42" s="218" t="inlineStr">
        <is>
          <t>CUST10039</t>
        </is>
      </c>
      <c r="C42" s="219" t="inlineStr">
        <is>
          <t>James Fernandez</t>
        </is>
      </c>
      <c r="D42" s="218" t="inlineStr">
        <is>
          <t>Prior SAR</t>
        </is>
      </c>
      <c r="E42" s="218" t="inlineStr">
        <is>
          <t>14/07/2024</t>
        </is>
      </c>
      <c r="F42" s="218" t="inlineStr">
        <is>
          <t>20/08/2024</t>
        </is>
      </c>
      <c r="G42" s="218" t="inlineStr">
        <is>
          <t>T. Obi</t>
        </is>
      </c>
      <c r="H42" s="218" t="inlineStr">
        <is>
          <t>Completed</t>
        </is>
      </c>
      <c r="I42" s="218" t="inlineStr">
        <is>
          <t>Partial</t>
        </is>
      </c>
      <c r="J42" s="218" t="inlineStr">
        <is>
          <t>Remittance</t>
        </is>
      </c>
      <c r="K42" s="218" t="n">
        <v>3000</v>
      </c>
      <c r="L42" s="194" t="inlineStr">
        <is>
          <t>Very High</t>
        </is>
      </c>
      <c r="M42" s="218" t="inlineStr">
        <is>
          <t>5/10</t>
        </is>
      </c>
      <c r="N42" s="220" t="inlineStr">
        <is>
          <t>None — case complete</t>
        </is>
      </c>
      <c r="O42" s="191" t="inlineStr">
        <is>
          <t>Completed</t>
        </is>
      </c>
    </row>
    <row r="43" ht="16.5" customHeight="1" s="126">
      <c r="A43" s="189" t="inlineStr">
        <is>
          <t>EDD30040</t>
        </is>
      </c>
      <c r="B43" s="189" t="inlineStr">
        <is>
          <t>CUST10040</t>
        </is>
      </c>
      <c r="C43" s="190" t="inlineStr">
        <is>
          <t>Yuki Tanaka</t>
        </is>
      </c>
      <c r="D43" s="189" t="inlineStr">
        <is>
          <t>Adverse Media</t>
        </is>
      </c>
      <c r="E43" s="189" t="inlineStr">
        <is>
          <t>24/06/2024</t>
        </is>
      </c>
      <c r="F43" s="189" t="inlineStr">
        <is>
          <t>02/08/2024</t>
        </is>
      </c>
      <c r="G43" s="189" t="inlineStr">
        <is>
          <t>Head AML</t>
        </is>
      </c>
      <c r="H43" s="189" t="inlineStr">
        <is>
          <t>Ongoing Monitoring</t>
        </is>
      </c>
      <c r="I43" s="189" t="inlineStr">
        <is>
          <t>Yes</t>
        </is>
      </c>
      <c r="J43" s="189" t="inlineStr">
        <is>
          <t>Loan Proceeds</t>
        </is>
      </c>
      <c r="K43" s="189" t="n">
        <v>8500</v>
      </c>
      <c r="L43" s="187" t="inlineStr">
        <is>
          <t>Medium</t>
        </is>
      </c>
      <c r="M43" s="189" t="inlineStr">
        <is>
          <t>3/10</t>
        </is>
      </c>
      <c r="N43" s="213" t="inlineStr">
        <is>
          <t>Escalate to MLRO</t>
        </is>
      </c>
      <c r="O43" s="188" t="inlineStr">
        <is>
          <t>Completed</t>
        </is>
      </c>
    </row>
    <row r="44" ht="16.5" customHeight="1" s="126">
      <c r="A44" s="218" t="inlineStr">
        <is>
          <t>EDD30041</t>
        </is>
      </c>
      <c r="B44" s="218" t="inlineStr">
        <is>
          <t>CUST10041</t>
        </is>
      </c>
      <c r="C44" s="219" t="inlineStr">
        <is>
          <t>Ravi Krishnamurthy</t>
        </is>
      </c>
      <c r="D44" s="218" t="inlineStr">
        <is>
          <t>PEP Customer</t>
        </is>
      </c>
      <c r="E44" s="218" t="inlineStr">
        <is>
          <t>08/08/2024</t>
        </is>
      </c>
      <c r="F44" s="218" t="inlineStr">
        <is>
          <t>10/09/2024</t>
        </is>
      </c>
      <c r="G44" s="218" t="inlineStr">
        <is>
          <t>A. Kumar</t>
        </is>
      </c>
      <c r="H44" s="218" t="inlineStr">
        <is>
          <t>Initial Review</t>
        </is>
      </c>
      <c r="I44" s="218" t="inlineStr">
        <is>
          <t>No</t>
        </is>
      </c>
      <c r="J44" s="218" t="inlineStr">
        <is>
          <t>Business Revenue</t>
        </is>
      </c>
      <c r="K44" s="218" t="n">
        <v>3000</v>
      </c>
      <c r="L44" s="192" t="inlineStr">
        <is>
          <t>High</t>
        </is>
      </c>
      <c r="M44" s="218" t="inlineStr">
        <is>
          <t>8/10</t>
        </is>
      </c>
      <c r="N44" s="220" t="inlineStr">
        <is>
          <t>Obtain board resolution</t>
        </is>
      </c>
      <c r="O44" s="191" t="inlineStr">
        <is>
          <t>Escalated</t>
        </is>
      </c>
    </row>
    <row r="45" ht="16.5" customHeight="1" s="126">
      <c r="A45" s="189" t="inlineStr">
        <is>
          <t>EDD30042</t>
        </is>
      </c>
      <c r="B45" s="189" t="inlineStr">
        <is>
          <t>CUST10042</t>
        </is>
      </c>
      <c r="C45" s="190" t="inlineStr">
        <is>
          <t>Astrid Bergström</t>
        </is>
      </c>
      <c r="D45" s="189" t="inlineStr">
        <is>
          <t>High Net Worth</t>
        </is>
      </c>
      <c r="E45" s="189" t="inlineStr">
        <is>
          <t>21/04/2024</t>
        </is>
      </c>
      <c r="F45" s="189" t="inlineStr">
        <is>
          <t>24/05/2024</t>
        </is>
      </c>
      <c r="G45" s="189" t="inlineStr">
        <is>
          <t>S. Patel</t>
        </is>
      </c>
      <c r="H45" s="189" t="inlineStr">
        <is>
          <t>Document Collection</t>
        </is>
      </c>
      <c r="I45" s="189" t="inlineStr">
        <is>
          <t>Partial</t>
        </is>
      </c>
      <c r="J45" s="189" t="inlineStr">
        <is>
          <t>Inheritance</t>
        </is>
      </c>
      <c r="K45" s="189" t="n">
        <v>850</v>
      </c>
      <c r="L45" s="194" t="inlineStr">
        <is>
          <t>Very High</t>
        </is>
      </c>
      <c r="M45" s="189" t="inlineStr">
        <is>
          <t>4/10</t>
        </is>
      </c>
      <c r="N45" s="213" t="inlineStr">
        <is>
          <t>Verify property ownership</t>
        </is>
      </c>
      <c r="O45" s="196" t="inlineStr">
        <is>
          <t>Pending Docs</t>
        </is>
      </c>
    </row>
    <row r="46" ht="16.5" customHeight="1" s="126">
      <c r="A46" s="218" t="inlineStr">
        <is>
          <t>EDD30043</t>
        </is>
      </c>
      <c r="B46" s="218" t="inlineStr">
        <is>
          <t>CUST10043</t>
        </is>
      </c>
      <c r="C46" s="219" t="inlineStr">
        <is>
          <t>Tariq Al-Hussain</t>
        </is>
      </c>
      <c r="D46" s="218" t="inlineStr">
        <is>
          <t>Cross-Border Transactions</t>
        </is>
      </c>
      <c r="E46" s="218" t="inlineStr">
        <is>
          <t>07/06/2024</t>
        </is>
      </c>
      <c r="F46" s="218" t="inlineStr">
        <is>
          <t>06/07/2024</t>
        </is>
      </c>
      <c r="G46" s="218" t="inlineStr">
        <is>
          <t>M. Ali</t>
        </is>
      </c>
      <c r="H46" s="218" t="inlineStr">
        <is>
          <t>UBO Analysis</t>
        </is>
      </c>
      <c r="I46" s="218" t="inlineStr">
        <is>
          <t>Yes</t>
        </is>
      </c>
      <c r="J46" s="218" t="inlineStr">
        <is>
          <t>Investment</t>
        </is>
      </c>
      <c r="K46" s="218" t="n">
        <v>8500</v>
      </c>
      <c r="L46" s="192" t="inlineStr">
        <is>
          <t>High</t>
        </is>
      </c>
      <c r="M46" s="218" t="inlineStr">
        <is>
          <t>4/10</t>
        </is>
      </c>
      <c r="N46" s="220" t="inlineStr">
        <is>
          <t>Confirm employment letter</t>
        </is>
      </c>
      <c r="O46" s="193" t="inlineStr">
        <is>
          <t>Completed</t>
        </is>
      </c>
    </row>
    <row r="47" ht="16.5" customHeight="1" s="126">
      <c r="A47" s="189" t="inlineStr">
        <is>
          <t>EDD30044</t>
        </is>
      </c>
      <c r="B47" s="189" t="inlineStr">
        <is>
          <t>CUST10044</t>
        </is>
      </c>
      <c r="C47" s="190" t="inlineStr">
        <is>
          <t>Mei-Ling Zhang</t>
        </is>
      </c>
      <c r="D47" s="189" t="inlineStr">
        <is>
          <t>Complex Ownership</t>
        </is>
      </c>
      <c r="E47" s="189" t="inlineStr">
        <is>
          <t>10/07/2024</t>
        </is>
      </c>
      <c r="F47" s="189" t="inlineStr">
        <is>
          <t>21/08/2024</t>
        </is>
      </c>
      <c r="G47" s="189" t="inlineStr">
        <is>
          <t>R. Chen</t>
        </is>
      </c>
      <c r="H47" s="189" t="inlineStr">
        <is>
          <t>Source of Funds Verification</t>
        </is>
      </c>
      <c r="I47" s="189" t="inlineStr">
        <is>
          <t>No</t>
        </is>
      </c>
      <c r="J47" s="189" t="inlineStr">
        <is>
          <t>Employment</t>
        </is>
      </c>
      <c r="K47" s="189" t="n">
        <v>2500</v>
      </c>
      <c r="L47" s="214" t="inlineStr">
        <is>
          <t>Medium-High</t>
        </is>
      </c>
      <c r="M47" s="189" t="inlineStr">
        <is>
          <t>8/10</t>
        </is>
      </c>
      <c r="N47" s="213" t="inlineStr">
        <is>
          <t>Request audited accounts</t>
        </is>
      </c>
      <c r="O47" s="196" t="inlineStr">
        <is>
          <t>In Progress</t>
        </is>
      </c>
    </row>
    <row r="48" ht="16.5" customHeight="1" s="126">
      <c r="A48" s="218" t="inlineStr">
        <is>
          <t>EDD30045</t>
        </is>
      </c>
      <c r="B48" s="218" t="inlineStr">
        <is>
          <t>CUST10045</t>
        </is>
      </c>
      <c r="C48" s="219" t="inlineStr">
        <is>
          <t>Boris Petrov</t>
        </is>
      </c>
      <c r="D48" s="218" t="inlineStr">
        <is>
          <t>Sanctions Adjacent</t>
        </is>
      </c>
      <c r="E48" s="218" t="inlineStr">
        <is>
          <t>15/02/2024</t>
        </is>
      </c>
      <c r="F48" s="218" t="inlineStr">
        <is>
          <t>26/03/2024</t>
        </is>
      </c>
      <c r="G48" s="218" t="inlineStr">
        <is>
          <t>J. Smith</t>
        </is>
      </c>
      <c r="H48" s="218" t="inlineStr">
        <is>
          <t>Risk Assessment</t>
        </is>
      </c>
      <c r="I48" s="218" t="inlineStr">
        <is>
          <t>Partial</t>
        </is>
      </c>
      <c r="J48" s="218" t="inlineStr">
        <is>
          <t>Property Sale</t>
        </is>
      </c>
      <c r="K48" s="218" t="n">
        <v>300</v>
      </c>
      <c r="L48" s="194" t="inlineStr">
        <is>
          <t>Very High</t>
        </is>
      </c>
      <c r="M48" s="218" t="inlineStr">
        <is>
          <t>4/10</t>
        </is>
      </c>
      <c r="N48" s="220" t="inlineStr">
        <is>
          <t>None pending</t>
        </is>
      </c>
      <c r="O48" s="191" t="inlineStr">
        <is>
          <t>Completed</t>
        </is>
      </c>
    </row>
    <row r="49" ht="16.5" customHeight="1" s="126">
      <c r="A49" s="189" t="inlineStr">
        <is>
          <t>EDD30046</t>
        </is>
      </c>
      <c r="B49" s="189" t="inlineStr">
        <is>
          <t>CUST10046</t>
        </is>
      </c>
      <c r="C49" s="190" t="inlineStr">
        <is>
          <t>Chioma Eze</t>
        </is>
      </c>
      <c r="D49" s="189" t="inlineStr">
        <is>
          <t>Unusual Business Model</t>
        </is>
      </c>
      <c r="E49" s="189" t="inlineStr">
        <is>
          <t>03/05/2024</t>
        </is>
      </c>
      <c r="F49" s="189" t="inlineStr">
        <is>
          <t>04/06/2024</t>
        </is>
      </c>
      <c r="G49" s="189" t="inlineStr">
        <is>
          <t>L. Wang</t>
        </is>
      </c>
      <c r="H49" s="189" t="inlineStr">
        <is>
          <t>Senior Approval</t>
        </is>
      </c>
      <c r="I49" s="189" t="inlineStr">
        <is>
          <t>Yes</t>
        </is>
      </c>
      <c r="J49" s="189" t="inlineStr">
        <is>
          <t>Pension</t>
        </is>
      </c>
      <c r="K49" s="189" t="n">
        <v>1500</v>
      </c>
      <c r="L49" s="192" t="inlineStr">
        <is>
          <t>High</t>
        </is>
      </c>
      <c r="M49" s="189" t="inlineStr">
        <is>
          <t>8/10</t>
        </is>
      </c>
      <c r="N49" s="213" t="inlineStr">
        <is>
          <t>Verify UBO chain</t>
        </is>
      </c>
      <c r="O49" s="188" t="inlineStr">
        <is>
          <t>Completed</t>
        </is>
      </c>
    </row>
    <row r="50" ht="16.5" customHeight="1" s="126">
      <c r="A50" s="218" t="inlineStr">
        <is>
          <t>EDD30047</t>
        </is>
      </c>
      <c r="B50" s="218" t="inlineStr">
        <is>
          <t>CUST10047</t>
        </is>
      </c>
      <c r="C50" s="219" t="inlineStr">
        <is>
          <t>Juan Pablo Reyes</t>
        </is>
      </c>
      <c r="D50" s="218" t="inlineStr">
        <is>
          <t>High-Risk Country</t>
        </is>
      </c>
      <c r="E50" s="218" t="inlineStr">
        <is>
          <t>26/06/2024</t>
        </is>
      </c>
      <c r="F50" s="218" t="inlineStr">
        <is>
          <t>09/08/2024</t>
        </is>
      </c>
      <c r="G50" s="218" t="inlineStr">
        <is>
          <t>P. Nair</t>
        </is>
      </c>
      <c r="H50" s="218" t="inlineStr">
        <is>
          <t>Completed</t>
        </is>
      </c>
      <c r="I50" s="218" t="inlineStr">
        <is>
          <t>No</t>
        </is>
      </c>
      <c r="J50" s="218" t="inlineStr">
        <is>
          <t>Trade Income</t>
        </is>
      </c>
      <c r="K50" s="218" t="n">
        <v>8500</v>
      </c>
      <c r="L50" s="214" t="inlineStr">
        <is>
          <t>Medium-High</t>
        </is>
      </c>
      <c r="M50" s="218" t="inlineStr">
        <is>
          <t>6/10</t>
        </is>
      </c>
      <c r="N50" s="220" t="inlineStr">
        <is>
          <t>Request 3yr bank statements</t>
        </is>
      </c>
      <c r="O50" s="191" t="inlineStr">
        <is>
          <t>Escalated</t>
        </is>
      </c>
    </row>
    <row r="51" ht="16.5" customHeight="1" s="126">
      <c r="A51" s="189" t="inlineStr">
        <is>
          <t>EDD30048</t>
        </is>
      </c>
      <c r="B51" s="189" t="inlineStr">
        <is>
          <t>CUST10048</t>
        </is>
      </c>
      <c r="C51" s="190" t="inlineStr">
        <is>
          <t>Natasha Romanova</t>
        </is>
      </c>
      <c r="D51" s="189" t="inlineStr">
        <is>
          <t>Cash Intensive</t>
        </is>
      </c>
      <c r="E51" s="189" t="inlineStr">
        <is>
          <t>05/09/2024</t>
        </is>
      </c>
      <c r="F51" s="189" t="inlineStr">
        <is>
          <t>05/10/2024</t>
        </is>
      </c>
      <c r="G51" s="189" t="inlineStr">
        <is>
          <t>F. Ahmed</t>
        </is>
      </c>
      <c r="H51" s="189" t="inlineStr">
        <is>
          <t>Ongoing Monitoring</t>
        </is>
      </c>
      <c r="I51" s="189" t="inlineStr">
        <is>
          <t>Partial</t>
        </is>
      </c>
      <c r="J51" s="189" t="inlineStr">
        <is>
          <t>Unknown</t>
        </is>
      </c>
      <c r="K51" s="189" t="n">
        <v>2500</v>
      </c>
      <c r="L51" s="192" t="inlineStr">
        <is>
          <t>High</t>
        </is>
      </c>
      <c r="M51" s="189" t="inlineStr">
        <is>
          <t>3/10</t>
        </is>
      </c>
      <c r="N51" s="213" t="inlineStr">
        <is>
          <t>Obtain tax records</t>
        </is>
      </c>
      <c r="O51" s="196" t="inlineStr">
        <is>
          <t>Pending Docs</t>
        </is>
      </c>
    </row>
    <row r="52" ht="16.5" customHeight="1" s="126">
      <c r="A52" s="218" t="inlineStr">
        <is>
          <t>EDD30049</t>
        </is>
      </c>
      <c r="B52" s="218" t="inlineStr">
        <is>
          <t>CUST10049</t>
        </is>
      </c>
      <c r="C52" s="219" t="inlineStr">
        <is>
          <t>Suresh Iyer</t>
        </is>
      </c>
      <c r="D52" s="218" t="inlineStr">
        <is>
          <t>Prior SAR</t>
        </is>
      </c>
      <c r="E52" s="218" t="inlineStr">
        <is>
          <t>22/07/2024</t>
        </is>
      </c>
      <c r="F52" s="218" t="inlineStr">
        <is>
          <t>15/08/2024</t>
        </is>
      </c>
      <c r="G52" s="218" t="inlineStr">
        <is>
          <t>T. Obi</t>
        </is>
      </c>
      <c r="H52" s="218" t="inlineStr">
        <is>
          <t>Initial Review</t>
        </is>
      </c>
      <c r="I52" s="218" t="inlineStr">
        <is>
          <t>Yes</t>
        </is>
      </c>
      <c r="J52" s="218" t="inlineStr">
        <is>
          <t>Remittance</t>
        </is>
      </c>
      <c r="K52" s="218" t="n">
        <v>4200</v>
      </c>
      <c r="L52" s="194" t="inlineStr">
        <is>
          <t>Very High</t>
        </is>
      </c>
      <c r="M52" s="218" t="inlineStr">
        <is>
          <t>2/10</t>
        </is>
      </c>
      <c r="N52" s="220" t="inlineStr">
        <is>
          <t>Confirm business license</t>
        </is>
      </c>
      <c r="O52" s="193" t="inlineStr">
        <is>
          <t>Completed</t>
        </is>
      </c>
    </row>
    <row r="53" ht="16.5" customHeight="1" s="126">
      <c r="A53" s="189" t="inlineStr">
        <is>
          <t>EDD30050</t>
        </is>
      </c>
      <c r="B53" s="189" t="inlineStr">
        <is>
          <t>CUST10050</t>
        </is>
      </c>
      <c r="C53" s="190" t="inlineStr">
        <is>
          <t>Olga Koroleva</t>
        </is>
      </c>
      <c r="D53" s="189" t="inlineStr">
        <is>
          <t>Adverse Media</t>
        </is>
      </c>
      <c r="E53" s="189" t="inlineStr">
        <is>
          <t>13/05/2024</t>
        </is>
      </c>
      <c r="F53" s="189" t="inlineStr">
        <is>
          <t>24/06/2024</t>
        </is>
      </c>
      <c r="G53" s="189" t="inlineStr">
        <is>
          <t>Head AML</t>
        </is>
      </c>
      <c r="H53" s="189" t="inlineStr">
        <is>
          <t>Document Collection</t>
        </is>
      </c>
      <c r="I53" s="189" t="inlineStr">
        <is>
          <t>No</t>
        </is>
      </c>
      <c r="J53" s="189" t="inlineStr">
        <is>
          <t>Loan Proceeds</t>
        </is>
      </c>
      <c r="K53" s="189" t="n">
        <v>1100</v>
      </c>
      <c r="L53" s="187" t="inlineStr">
        <is>
          <t>Medium</t>
        </is>
      </c>
      <c r="M53" s="189" t="inlineStr">
        <is>
          <t>5/10</t>
        </is>
      </c>
      <c r="N53" s="213" t="inlineStr">
        <is>
          <t>Review corporate structure</t>
        </is>
      </c>
      <c r="O53" s="196" t="inlineStr">
        <is>
          <t>In Progress</t>
        </is>
      </c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5" min="1" max="1"/>
    <col width="12" customWidth="1" style="125" min="2" max="2"/>
    <col width="10" customWidth="1" style="125" min="3" max="3"/>
    <col width="12" customWidth="1" style="125" min="4" max="4"/>
    <col width="35" customWidth="1" style="125" min="5" max="5"/>
    <col width="14" customWidth="1" style="125" min="6" max="6"/>
    <col width="10" customWidth="1" style="125" min="7" max="7"/>
    <col width="15" customWidth="1" style="125" min="8" max="8"/>
    <col width="14" customWidth="1" style="125" min="9" max="9"/>
    <col width="16" customWidth="1" style="125" min="10" max="11"/>
    <col width="22" customWidth="1" style="125" min="12" max="12"/>
    <col width="14" customWidth="1" style="125" min="13" max="13"/>
    <col width="12" customWidth="1" style="125" min="14" max="14"/>
    <col width="20" customWidth="1" style="125" min="15" max="15"/>
  </cols>
  <sheetData>
    <row r="1" ht="39.75" customHeight="1" s="126">
      <c r="A1" s="221" t="inlineStr">
        <is>
          <t>SUSPICIOUS ACTIVITY REPORT (SAR) LOG  |  50 SAR Records</t>
        </is>
      </c>
    </row>
    <row r="2" ht="18" customHeight="1" s="126">
      <c r="A2" s="222" t="inlineStr">
        <is>
          <t>Official Record of All SARs Filed to Financial Intelligence Unit (FIU)</t>
        </is>
      </c>
    </row>
    <row r="3" ht="19.5" customHeight="1" s="126">
      <c r="A3" s="223" t="inlineStr">
        <is>
          <t>SAR Ref</t>
        </is>
      </c>
      <c r="B3" s="223" t="inlineStr">
        <is>
          <t>Alert ID</t>
        </is>
      </c>
      <c r="C3" s="223" t="inlineStr">
        <is>
          <t>Cust ID</t>
        </is>
      </c>
      <c r="D3" s="223" t="inlineStr">
        <is>
          <t>Filing Date</t>
        </is>
      </c>
      <c r="E3" s="223" t="inlineStr">
        <is>
          <t>Suspicious Activity</t>
        </is>
      </c>
      <c r="F3" s="223" t="inlineStr">
        <is>
          <t>Amount</t>
        </is>
      </c>
      <c r="G3" s="223" t="inlineStr">
        <is>
          <t>Currency</t>
        </is>
      </c>
      <c r="H3" s="223" t="inlineStr">
        <is>
          <t>Filed By</t>
        </is>
      </c>
      <c r="I3" s="223" t="inlineStr">
        <is>
          <t>MLRO Approved</t>
        </is>
      </c>
      <c r="J3" s="223" t="inlineStr">
        <is>
          <t>FIU Reference</t>
        </is>
      </c>
      <c r="K3" s="223" t="inlineStr">
        <is>
          <t>Feedback Received</t>
        </is>
      </c>
      <c r="L3" s="223" t="inlineStr">
        <is>
          <t>Case Outcome</t>
        </is>
      </c>
      <c r="M3" s="223" t="inlineStr">
        <is>
          <t>SAR Type</t>
        </is>
      </c>
      <c r="N3" s="223" t="inlineStr">
        <is>
          <t>Priority</t>
        </is>
      </c>
      <c r="O3" s="223" t="inlineStr">
        <is>
          <t>Remarks</t>
        </is>
      </c>
    </row>
    <row r="4" ht="19.5" customHeight="1" s="126">
      <c r="A4" s="189" t="inlineStr">
        <is>
          <t>SAR/2024/1001</t>
        </is>
      </c>
      <c r="B4" s="189" t="inlineStr">
        <is>
          <t>ALT20004</t>
        </is>
      </c>
      <c r="C4" s="189" t="inlineStr">
        <is>
          <t>CUST10004</t>
        </is>
      </c>
      <c r="D4" s="189" t="inlineStr">
        <is>
          <t>12/11/2024</t>
        </is>
      </c>
      <c r="E4" s="213" t="inlineStr">
        <is>
          <t>PEP misuse of business account</t>
        </is>
      </c>
      <c r="F4" s="189" t="n">
        <v>190000</v>
      </c>
      <c r="G4" s="189" t="inlineStr">
        <is>
          <t>AED</t>
        </is>
      </c>
      <c r="H4" s="189" t="inlineStr">
        <is>
          <t>R. Chen</t>
        </is>
      </c>
      <c r="I4" s="189" t="inlineStr">
        <is>
          <t>Yes</t>
        </is>
      </c>
      <c r="J4" s="189" t="inlineStr">
        <is>
          <t>FIU/2024/5004</t>
        </is>
      </c>
      <c r="K4" s="189" t="inlineStr">
        <is>
          <t>Received</t>
        </is>
      </c>
      <c r="L4" s="185" t="inlineStr">
        <is>
          <t>No Further Action</t>
        </is>
      </c>
      <c r="M4" s="189" t="inlineStr">
        <is>
          <t>Voluntary Disclosure</t>
        </is>
      </c>
      <c r="N4" s="192" t="inlineStr">
        <is>
          <t>High</t>
        </is>
      </c>
      <c r="O4" s="213" t="inlineStr">
        <is>
          <t>FIU acknowledged</t>
        </is>
      </c>
    </row>
    <row r="5" ht="19.5" customHeight="1" s="126">
      <c r="A5" s="224" t="inlineStr">
        <is>
          <t>SAR/2024/1002</t>
        </is>
      </c>
      <c r="B5" s="224" t="inlineStr">
        <is>
          <t>ALT20011</t>
        </is>
      </c>
      <c r="C5" s="224" t="inlineStr">
        <is>
          <t>CUST10011</t>
        </is>
      </c>
      <c r="D5" s="224" t="inlineStr">
        <is>
          <t>08/12/2024</t>
        </is>
      </c>
      <c r="E5" s="225" t="inlineStr">
        <is>
          <t>Rapid in/out wire movements</t>
        </is>
      </c>
      <c r="F5" s="224" t="n">
        <v>67000</v>
      </c>
      <c r="G5" s="224" t="inlineStr">
        <is>
          <t>INR</t>
        </is>
      </c>
      <c r="H5" s="224" t="inlineStr">
        <is>
          <t>A. Kumar</t>
        </is>
      </c>
      <c r="I5" s="224" t="inlineStr">
        <is>
          <t>Yes</t>
        </is>
      </c>
      <c r="J5" s="224" t="inlineStr">
        <is>
          <t>FIU/2024/5011</t>
        </is>
      </c>
      <c r="K5" s="224" t="inlineStr">
        <is>
          <t>Pending</t>
        </is>
      </c>
      <c r="L5" s="224" t="inlineStr">
        <is>
          <t>Acquitted</t>
        </is>
      </c>
      <c r="M5" s="224" t="inlineStr">
        <is>
          <t>STR</t>
        </is>
      </c>
      <c r="N5" s="192" t="inlineStr">
        <is>
          <t>High</t>
        </is>
      </c>
      <c r="O5" s="225" t="inlineStr">
        <is>
          <t>Charged</t>
        </is>
      </c>
    </row>
    <row r="6" ht="19.5" customHeight="1" s="126">
      <c r="A6" s="189" t="inlineStr">
        <is>
          <t>SAR/2024/1003</t>
        </is>
      </c>
      <c r="B6" s="189" t="inlineStr">
        <is>
          <t>ALT20012</t>
        </is>
      </c>
      <c r="C6" s="189" t="inlineStr">
        <is>
          <t>CUST10012</t>
        </is>
      </c>
      <c r="D6" s="189" t="inlineStr">
        <is>
          <t>28/07/2024</t>
        </is>
      </c>
      <c r="E6" s="213" t="inlineStr">
        <is>
          <t>Shell company transactions</t>
        </is>
      </c>
      <c r="F6" s="189" t="n">
        <v>78000</v>
      </c>
      <c r="G6" s="189" t="inlineStr">
        <is>
          <t>SGD</t>
        </is>
      </c>
      <c r="H6" s="189" t="inlineStr">
        <is>
          <t>S. Patel</t>
        </is>
      </c>
      <c r="I6" s="189" t="inlineStr">
        <is>
          <t>Yes</t>
        </is>
      </c>
      <c r="J6" s="189" t="inlineStr">
        <is>
          <t>FIU/2024/5012</t>
        </is>
      </c>
      <c r="K6" s="189" t="inlineStr">
        <is>
          <t>Received</t>
        </is>
      </c>
      <c r="L6" s="191" t="inlineStr">
        <is>
          <t>Convicted</t>
        </is>
      </c>
      <c r="M6" s="189" t="inlineStr">
        <is>
          <t>CTR</t>
        </is>
      </c>
      <c r="N6" s="194" t="inlineStr">
        <is>
          <t>Critical</t>
        </is>
      </c>
      <c r="O6" s="213" t="inlineStr">
        <is>
          <t>Case dismissed</t>
        </is>
      </c>
    </row>
    <row r="7" ht="19.5" customHeight="1" s="126">
      <c r="A7" s="224" t="inlineStr">
        <is>
          <t>SAR/2024/1004</t>
        </is>
      </c>
      <c r="B7" s="224" t="inlineStr">
        <is>
          <t>ALT20015</t>
        </is>
      </c>
      <c r="C7" s="224" t="inlineStr">
        <is>
          <t>CUST10015</t>
        </is>
      </c>
      <c r="D7" s="224" t="inlineStr">
        <is>
          <t>17/02/2024</t>
        </is>
      </c>
      <c r="E7" s="225" t="inlineStr">
        <is>
          <t>Undisclosed beneficial owner</t>
        </is>
      </c>
      <c r="F7" s="224" t="n">
        <v>42000</v>
      </c>
      <c r="G7" s="224" t="inlineStr">
        <is>
          <t>GBP</t>
        </is>
      </c>
      <c r="H7" s="224" t="inlineStr">
        <is>
          <t>J. Smith</t>
        </is>
      </c>
      <c r="I7" s="224" t="inlineStr">
        <is>
          <t>Yes</t>
        </is>
      </c>
      <c r="J7" s="224" t="inlineStr">
        <is>
          <t>FIU/2024/5015</t>
        </is>
      </c>
      <c r="K7" s="224" t="inlineStr">
        <is>
          <t>No Feedback</t>
        </is>
      </c>
      <c r="L7" s="224" t="inlineStr">
        <is>
          <t>Active</t>
        </is>
      </c>
      <c r="M7" s="224" t="inlineStr">
        <is>
          <t>Tipping-off Report</t>
        </is>
      </c>
      <c r="N7" s="214" t="inlineStr">
        <is>
          <t>Medium</t>
        </is>
      </c>
      <c r="O7" s="225" t="inlineStr">
        <is>
          <t>Ongoing</t>
        </is>
      </c>
    </row>
    <row r="8" ht="19.5" customHeight="1" s="126">
      <c r="A8" s="189" t="inlineStr">
        <is>
          <t>SAR/2024/1005</t>
        </is>
      </c>
      <c r="B8" s="189" t="inlineStr">
        <is>
          <t>ALT20018</t>
        </is>
      </c>
      <c r="C8" s="189" t="inlineStr">
        <is>
          <t>CUST10018</t>
        </is>
      </c>
      <c r="D8" s="189" t="inlineStr">
        <is>
          <t>22/05/2024</t>
        </is>
      </c>
      <c r="E8" s="213" t="inlineStr">
        <is>
          <t>Layering - Complex inter-bank transfers</t>
        </is>
      </c>
      <c r="F8" s="189" t="n">
        <v>28000</v>
      </c>
      <c r="G8" s="189" t="inlineStr">
        <is>
          <t>SGD</t>
        </is>
      </c>
      <c r="H8" s="189" t="inlineStr">
        <is>
          <t>F. Ahmed</t>
        </is>
      </c>
      <c r="I8" s="189" t="inlineStr">
        <is>
          <t>Yes</t>
        </is>
      </c>
      <c r="J8" s="189" t="inlineStr">
        <is>
          <t>FIU/2024/5018</t>
        </is>
      </c>
      <c r="K8" s="189" t="inlineStr">
        <is>
          <t>Received</t>
        </is>
      </c>
      <c r="L8" s="191" t="inlineStr">
        <is>
          <t>Prosecution Initiated</t>
        </is>
      </c>
      <c r="M8" s="189" t="inlineStr">
        <is>
          <t>SAR</t>
        </is>
      </c>
      <c r="N8" s="214" t="inlineStr">
        <is>
          <t>Medium</t>
        </is>
      </c>
      <c r="O8" s="213" t="inlineStr">
        <is>
          <t>Referred to Police</t>
        </is>
      </c>
    </row>
    <row r="9" ht="19.5" customHeight="1" s="126">
      <c r="A9" s="189" t="inlineStr">
        <is>
          <t>SAR/2024/1006</t>
        </is>
      </c>
      <c r="B9" s="189" t="inlineStr">
        <is>
          <t>ALT20022</t>
        </is>
      </c>
      <c r="C9" s="189" t="inlineStr">
        <is>
          <t>CUST10022</t>
        </is>
      </c>
      <c r="D9" s="189" t="inlineStr">
        <is>
          <t>24/05/2024</t>
        </is>
      </c>
      <c r="E9" s="213" t="inlineStr">
        <is>
          <t>Smurfing - Multiple parties same destination</t>
        </is>
      </c>
      <c r="F9" s="189" t="n">
        <v>89000</v>
      </c>
      <c r="G9" s="189" t="inlineStr">
        <is>
          <t>AED</t>
        </is>
      </c>
      <c r="H9" s="189" t="inlineStr">
        <is>
          <t>S. Patel</t>
        </is>
      </c>
      <c r="I9" s="189" t="inlineStr">
        <is>
          <t>Yes</t>
        </is>
      </c>
      <c r="J9" s="189" t="inlineStr">
        <is>
          <t>FIU/2024/5022</t>
        </is>
      </c>
      <c r="K9" s="189" t="inlineStr">
        <is>
          <t>Received</t>
        </is>
      </c>
      <c r="L9" s="189" t="inlineStr">
        <is>
          <t>Referred to Police</t>
        </is>
      </c>
      <c r="M9" s="189" t="inlineStr">
        <is>
          <t>CTR</t>
        </is>
      </c>
      <c r="N9" s="194" t="inlineStr">
        <is>
          <t>Critical</t>
        </is>
      </c>
      <c r="O9" s="213" t="inlineStr">
        <is>
          <t>Court proceedings</t>
        </is>
      </c>
    </row>
    <row r="10" ht="19.5" customHeight="1" s="126">
      <c r="A10" s="189" t="inlineStr">
        <is>
          <t>SAR/2024/1007</t>
        </is>
      </c>
      <c r="B10" s="189" t="inlineStr">
        <is>
          <t>ALT20024</t>
        </is>
      </c>
      <c r="C10" s="189" t="inlineStr">
        <is>
          <t>CUST10024</t>
        </is>
      </c>
      <c r="D10" s="189" t="inlineStr">
        <is>
          <t>18/08/2024</t>
        </is>
      </c>
      <c r="E10" s="213" t="inlineStr">
        <is>
          <t>Cyber fraud proceeds</t>
        </is>
      </c>
      <c r="F10" s="189" t="n">
        <v>67000</v>
      </c>
      <c r="G10" s="189" t="inlineStr">
        <is>
          <t>SGD</t>
        </is>
      </c>
      <c r="H10" s="189" t="inlineStr">
        <is>
          <t>R. Chen</t>
        </is>
      </c>
      <c r="I10" s="189" t="inlineStr">
        <is>
          <t>Yes</t>
        </is>
      </c>
      <c r="J10" s="189" t="inlineStr">
        <is>
          <t>FIU/2024/5024</t>
        </is>
      </c>
      <c r="K10" s="189" t="inlineStr">
        <is>
          <t>Received</t>
        </is>
      </c>
      <c r="L10" s="196" t="inlineStr">
        <is>
          <t>Pending Review</t>
        </is>
      </c>
      <c r="M10" s="189" t="inlineStr">
        <is>
          <t>Voluntary Disclosure</t>
        </is>
      </c>
      <c r="N10" s="192" t="inlineStr">
        <is>
          <t>High</t>
        </is>
      </c>
      <c r="O10" s="213" t="inlineStr">
        <is>
          <t>Under review</t>
        </is>
      </c>
    </row>
    <row r="11" ht="19.5" customHeight="1" s="126">
      <c r="A11" s="224" t="inlineStr">
        <is>
          <t>SAR/2024/1008</t>
        </is>
      </c>
      <c r="B11" s="224" t="inlineStr">
        <is>
          <t>ALT20025</t>
        </is>
      </c>
      <c r="C11" s="224" t="inlineStr">
        <is>
          <t>CUST10025</t>
        </is>
      </c>
      <c r="D11" s="224" t="inlineStr">
        <is>
          <t>21/09/2024</t>
        </is>
      </c>
      <c r="E11" s="225" t="inlineStr">
        <is>
          <t>Tax evasion indicators</t>
        </is>
      </c>
      <c r="F11" s="224" t="n">
        <v>120000</v>
      </c>
      <c r="G11" s="224" t="inlineStr">
        <is>
          <t>USD</t>
        </is>
      </c>
      <c r="H11" s="224" t="inlineStr">
        <is>
          <t>J. Smith</t>
        </is>
      </c>
      <c r="I11" s="224" t="inlineStr">
        <is>
          <t>Yes</t>
        </is>
      </c>
      <c r="J11" s="224" t="inlineStr">
        <is>
          <t>FIU/2024/5025</t>
        </is>
      </c>
      <c r="K11" s="224" t="inlineStr">
        <is>
          <t>Pending</t>
        </is>
      </c>
      <c r="L11" s="191" t="inlineStr">
        <is>
          <t>Court Proceedings</t>
        </is>
      </c>
      <c r="M11" s="224" t="inlineStr">
        <is>
          <t>Tipping-off Report</t>
        </is>
      </c>
      <c r="N11" s="214" t="inlineStr">
        <is>
          <t>Medium</t>
        </is>
      </c>
      <c r="O11" s="225" t="inlineStr">
        <is>
          <t>Active investigation</t>
        </is>
      </c>
    </row>
    <row r="12" ht="19.5" customHeight="1" s="126">
      <c r="A12" s="189" t="inlineStr">
        <is>
          <t>SAR/2024/1009</t>
        </is>
      </c>
      <c r="B12" s="189" t="inlineStr">
        <is>
          <t>ALT20026</t>
        </is>
      </c>
      <c r="C12" s="189" t="inlineStr">
        <is>
          <t>CUST10026</t>
        </is>
      </c>
      <c r="D12" s="189" t="inlineStr">
        <is>
          <t>25/10/2024</t>
        </is>
      </c>
      <c r="E12" s="213" t="inlineStr">
        <is>
          <t>Rapid in/out wire movements</t>
        </is>
      </c>
      <c r="F12" s="189" t="n">
        <v>230000</v>
      </c>
      <c r="G12" s="189" t="inlineStr">
        <is>
          <t>EUR</t>
        </is>
      </c>
      <c r="H12" s="189" t="inlineStr">
        <is>
          <t>L. Wang</t>
        </is>
      </c>
      <c r="I12" s="189" t="inlineStr">
        <is>
          <t>Yes</t>
        </is>
      </c>
      <c r="J12" s="189" t="inlineStr">
        <is>
          <t>FIU/2024/5026</t>
        </is>
      </c>
      <c r="K12" s="189" t="inlineStr">
        <is>
          <t>Received</t>
        </is>
      </c>
      <c r="L12" s="189" t="inlineStr">
        <is>
          <t>Acquitted</t>
        </is>
      </c>
      <c r="M12" s="189" t="inlineStr">
        <is>
          <t>STR</t>
        </is>
      </c>
      <c r="N12" s="192" t="inlineStr">
        <is>
          <t>High</t>
        </is>
      </c>
      <c r="O12" s="213" t="inlineStr">
        <is>
          <t>Charged</t>
        </is>
      </c>
    </row>
    <row r="13" ht="19.5" customHeight="1" s="126">
      <c r="A13" s="224" t="inlineStr">
        <is>
          <t>SAR/2024/1010</t>
        </is>
      </c>
      <c r="B13" s="224" t="inlineStr">
        <is>
          <t>ALT20027</t>
        </is>
      </c>
      <c r="C13" s="224" t="inlineStr">
        <is>
          <t>CUST10027</t>
        </is>
      </c>
      <c r="D13" s="224" t="inlineStr">
        <is>
          <t>27/11/2024</t>
        </is>
      </c>
      <c r="E13" s="225" t="inlineStr">
        <is>
          <t>Shell company transactions</t>
        </is>
      </c>
      <c r="F13" s="224" t="n">
        <v>260000</v>
      </c>
      <c r="G13" s="224" t="inlineStr">
        <is>
          <t>GBP</t>
        </is>
      </c>
      <c r="H13" s="224" t="inlineStr">
        <is>
          <t>P. Nair</t>
        </is>
      </c>
      <c r="I13" s="224" t="inlineStr">
        <is>
          <t>Yes</t>
        </is>
      </c>
      <c r="J13" s="224" t="inlineStr">
        <is>
          <t>FIU/2024/5027</t>
        </is>
      </c>
      <c r="K13" s="224" t="inlineStr">
        <is>
          <t>No Feedback</t>
        </is>
      </c>
      <c r="L13" s="191" t="inlineStr">
        <is>
          <t>Convicted</t>
        </is>
      </c>
      <c r="M13" s="224" t="inlineStr">
        <is>
          <t>CTR</t>
        </is>
      </c>
      <c r="N13" s="194" t="inlineStr">
        <is>
          <t>Critical</t>
        </is>
      </c>
      <c r="O13" s="225" t="inlineStr">
        <is>
          <t>Case dismissed</t>
        </is>
      </c>
    </row>
    <row r="14" ht="19.5" customHeight="1" s="126">
      <c r="A14" s="224" t="inlineStr">
        <is>
          <t>SAR/2024/1011</t>
        </is>
      </c>
      <c r="B14" s="224" t="inlineStr">
        <is>
          <t>ALT20031</t>
        </is>
      </c>
      <c r="C14" s="224" t="inlineStr">
        <is>
          <t>CUST10031</t>
        </is>
      </c>
      <c r="D14" s="224" t="inlineStr">
        <is>
          <t>03/05/2024</t>
        </is>
      </c>
      <c r="E14" s="225" t="inlineStr">
        <is>
          <t>Structuring - Multiple txns below threshold</t>
        </is>
      </c>
      <c r="F14" s="224" t="n">
        <v>155000</v>
      </c>
      <c r="G14" s="224" t="inlineStr">
        <is>
          <t>USD</t>
        </is>
      </c>
      <c r="H14" s="224" t="inlineStr">
        <is>
          <t>A. Kumar</t>
        </is>
      </c>
      <c r="I14" s="224" t="inlineStr">
        <is>
          <t>Yes</t>
        </is>
      </c>
      <c r="J14" s="224" t="inlineStr">
        <is>
          <t>FIU/2024/5031</t>
        </is>
      </c>
      <c r="K14" s="224" t="inlineStr">
        <is>
          <t>Pending</t>
        </is>
      </c>
      <c r="L14" s="196" t="inlineStr">
        <is>
          <t>Under Investigation</t>
        </is>
      </c>
      <c r="M14" s="224" t="inlineStr">
        <is>
          <t>STR</t>
        </is>
      </c>
      <c r="N14" s="192" t="inlineStr">
        <is>
          <t>High</t>
        </is>
      </c>
      <c r="O14" s="225" t="inlineStr">
        <is>
          <t>Normal follow-up</t>
        </is>
      </c>
    </row>
    <row r="15" ht="19.5" customHeight="1" s="126">
      <c r="A15" s="189" t="inlineStr">
        <is>
          <t>SAR/2024/1012</t>
        </is>
      </c>
      <c r="B15" s="189" t="inlineStr">
        <is>
          <t>ALT20032</t>
        </is>
      </c>
      <c r="C15" s="189" t="inlineStr">
        <is>
          <t>CUST10032</t>
        </is>
      </c>
      <c r="D15" s="189" t="inlineStr">
        <is>
          <t>02/10/2024</t>
        </is>
      </c>
      <c r="E15" s="213" t="inlineStr">
        <is>
          <t>Suspected proceeds of drug trafficking</t>
        </is>
      </c>
      <c r="F15" s="189" t="n">
        <v>260000</v>
      </c>
      <c r="G15" s="189" t="inlineStr">
        <is>
          <t>EUR</t>
        </is>
      </c>
      <c r="H15" s="189" t="inlineStr">
        <is>
          <t>S. Patel</t>
        </is>
      </c>
      <c r="I15" s="189" t="inlineStr">
        <is>
          <t>Yes</t>
        </is>
      </c>
      <c r="J15" s="189" t="inlineStr">
        <is>
          <t>FIU/2024/5032</t>
        </is>
      </c>
      <c r="K15" s="189" t="inlineStr">
        <is>
          <t>Received</t>
        </is>
      </c>
      <c r="L15" s="188" t="inlineStr">
        <is>
          <t>Case Closed</t>
        </is>
      </c>
      <c r="M15" s="189" t="inlineStr">
        <is>
          <t>CTR</t>
        </is>
      </c>
      <c r="N15" s="194" t="inlineStr">
        <is>
          <t>Critical</t>
        </is>
      </c>
      <c r="O15" s="213" t="inlineStr">
        <is>
          <t>Assets frozen</t>
        </is>
      </c>
    </row>
    <row r="16" ht="19.5" customHeight="1" s="126">
      <c r="A16" s="224" t="inlineStr">
        <is>
          <t>SAR/2024/1013</t>
        </is>
      </c>
      <c r="B16" s="224" t="inlineStr">
        <is>
          <t>ALT20033</t>
        </is>
      </c>
      <c r="C16" s="224" t="inlineStr">
        <is>
          <t>CUST10033</t>
        </is>
      </c>
      <c r="D16" s="224" t="inlineStr">
        <is>
          <t>14/01/2024</t>
        </is>
      </c>
      <c r="E16" s="225" t="inlineStr">
        <is>
          <t>Layering - Complex inter-bank transfers</t>
        </is>
      </c>
      <c r="F16" s="224" t="n">
        <v>42000</v>
      </c>
      <c r="G16" s="224" t="inlineStr">
        <is>
          <t>GBP</t>
        </is>
      </c>
      <c r="H16" s="224" t="inlineStr">
        <is>
          <t>M. Ali</t>
        </is>
      </c>
      <c r="I16" s="224" t="inlineStr">
        <is>
          <t>Yes</t>
        </is>
      </c>
      <c r="J16" s="224" t="inlineStr">
        <is>
          <t>FIU/2024/5033</t>
        </is>
      </c>
      <c r="K16" s="224" t="inlineStr">
        <is>
          <t>No Feedback</t>
        </is>
      </c>
      <c r="L16" s="191" t="inlineStr">
        <is>
          <t>Prosecution Initiated</t>
        </is>
      </c>
      <c r="M16" s="224" t="inlineStr">
        <is>
          <t>SAR</t>
        </is>
      </c>
      <c r="N16" s="214" t="inlineStr">
        <is>
          <t>Medium</t>
        </is>
      </c>
      <c r="O16" s="225" t="inlineStr">
        <is>
          <t>Referred to Police</t>
        </is>
      </c>
    </row>
    <row r="17" ht="19.5" customHeight="1" s="126">
      <c r="A17" s="189" t="inlineStr">
        <is>
          <t>SAR/2024/1014</t>
        </is>
      </c>
      <c r="B17" s="189" t="inlineStr">
        <is>
          <t>ALT20036</t>
        </is>
      </c>
      <c r="C17" s="189" t="inlineStr">
        <is>
          <t>CUST10036</t>
        </is>
      </c>
      <c r="D17" s="189" t="inlineStr">
        <is>
          <t>10/10/2024</t>
        </is>
      </c>
      <c r="E17" s="213" t="inlineStr">
        <is>
          <t>Integration - Real estate purchase unusual source</t>
        </is>
      </c>
      <c r="F17" s="189" t="n">
        <v>95000</v>
      </c>
      <c r="G17" s="189" t="inlineStr">
        <is>
          <t>SGD</t>
        </is>
      </c>
      <c r="H17" s="189" t="inlineStr">
        <is>
          <t>L. Wang</t>
        </is>
      </c>
      <c r="I17" s="189" t="inlineStr">
        <is>
          <t>Yes</t>
        </is>
      </c>
      <c r="J17" s="189" t="inlineStr">
        <is>
          <t>FIU/2024/5036</t>
        </is>
      </c>
      <c r="K17" s="189" t="inlineStr">
        <is>
          <t>Received</t>
        </is>
      </c>
      <c r="L17" s="191" t="inlineStr">
        <is>
          <t>Assets Frozen</t>
        </is>
      </c>
      <c r="M17" s="189" t="inlineStr">
        <is>
          <t>STR</t>
        </is>
      </c>
      <c r="N17" s="192" t="inlineStr">
        <is>
          <t>High</t>
        </is>
      </c>
      <c r="O17" s="213" t="inlineStr">
        <is>
          <t>Monitoring ongoing</t>
        </is>
      </c>
    </row>
    <row r="18" ht="19.5" customHeight="1" s="126">
      <c r="A18" s="224" t="inlineStr">
        <is>
          <t>SAR/2024/1015</t>
        </is>
      </c>
      <c r="B18" s="224" t="inlineStr">
        <is>
          <t>ALT20039</t>
        </is>
      </c>
      <c r="C18" s="224" t="inlineStr">
        <is>
          <t>CUST10039</t>
        </is>
      </c>
      <c r="D18" s="224" t="inlineStr">
        <is>
          <t>13/07/2024</t>
        </is>
      </c>
      <c r="E18" s="225" t="inlineStr">
        <is>
          <t>Cyber fraud proceeds</t>
        </is>
      </c>
      <c r="F18" s="224" t="n">
        <v>120000</v>
      </c>
      <c r="G18" s="224" t="inlineStr">
        <is>
          <t>GBP</t>
        </is>
      </c>
      <c r="H18" s="224" t="inlineStr">
        <is>
          <t>T. Obi</t>
        </is>
      </c>
      <c r="I18" s="224" t="inlineStr">
        <is>
          <t>Yes</t>
        </is>
      </c>
      <c r="J18" s="224" t="inlineStr">
        <is>
          <t>FIU/2024/5039</t>
        </is>
      </c>
      <c r="K18" s="224" t="inlineStr">
        <is>
          <t>No Feedback</t>
        </is>
      </c>
      <c r="L18" s="196" t="inlineStr">
        <is>
          <t>Pending Review</t>
        </is>
      </c>
      <c r="M18" s="224" t="inlineStr">
        <is>
          <t>Voluntary Disclosure</t>
        </is>
      </c>
      <c r="N18" s="192" t="inlineStr">
        <is>
          <t>High</t>
        </is>
      </c>
      <c r="O18" s="225" t="inlineStr">
        <is>
          <t>Under review</t>
        </is>
      </c>
    </row>
    <row r="19" ht="19.5" customHeight="1" s="126">
      <c r="A19" s="189" t="inlineStr">
        <is>
          <t>SAR/2024/1016</t>
        </is>
      </c>
      <c r="B19" s="189" t="inlineStr">
        <is>
          <t>ALT20040</t>
        </is>
      </c>
      <c r="C19" s="189" t="inlineStr">
        <is>
          <t>CUST10040</t>
        </is>
      </c>
      <c r="D19" s="189" t="inlineStr">
        <is>
          <t>09/03/2024</t>
        </is>
      </c>
      <c r="E19" s="213" t="inlineStr">
        <is>
          <t>Tax evasion indicators</t>
        </is>
      </c>
      <c r="F19" s="189" t="n">
        <v>155000</v>
      </c>
      <c r="G19" s="189" t="inlineStr">
        <is>
          <t>AED</t>
        </is>
      </c>
      <c r="H19" s="189" t="inlineStr">
        <is>
          <t>Head AML</t>
        </is>
      </c>
      <c r="I19" s="189" t="inlineStr">
        <is>
          <t>Yes</t>
        </is>
      </c>
      <c r="J19" s="189" t="inlineStr">
        <is>
          <t>FIU/2024/5040</t>
        </is>
      </c>
      <c r="K19" s="189" t="inlineStr">
        <is>
          <t>Received</t>
        </is>
      </c>
      <c r="L19" s="191" t="inlineStr">
        <is>
          <t>Court Proceedings</t>
        </is>
      </c>
      <c r="M19" s="189" t="inlineStr">
        <is>
          <t>Tipping-off Report</t>
        </is>
      </c>
      <c r="N19" s="214" t="inlineStr">
        <is>
          <t>Medium</t>
        </is>
      </c>
      <c r="O19" s="213" t="inlineStr">
        <is>
          <t>Active investigation</t>
        </is>
      </c>
    </row>
    <row r="20" ht="19.5" customHeight="1" s="126">
      <c r="A20" s="224" t="inlineStr">
        <is>
          <t>SAR/2024/1017</t>
        </is>
      </c>
      <c r="B20" s="224" t="inlineStr">
        <is>
          <t>ALT20041</t>
        </is>
      </c>
      <c r="C20" s="224" t="inlineStr">
        <is>
          <t>CUST10041</t>
        </is>
      </c>
      <c r="D20" s="224" t="inlineStr">
        <is>
          <t>11/08/2024</t>
        </is>
      </c>
      <c r="E20" s="225" t="inlineStr">
        <is>
          <t>Rapid in/out wire movements</t>
        </is>
      </c>
      <c r="F20" s="224" t="n">
        <v>45000</v>
      </c>
      <c r="G20" s="224" t="inlineStr">
        <is>
          <t>INR</t>
        </is>
      </c>
      <c r="H20" s="224" t="inlineStr">
        <is>
          <t>A. Kumar</t>
        </is>
      </c>
      <c r="I20" s="224" t="inlineStr">
        <is>
          <t>Yes</t>
        </is>
      </c>
      <c r="J20" s="224" t="inlineStr">
        <is>
          <t>FIU/2024/5041</t>
        </is>
      </c>
      <c r="K20" s="224" t="inlineStr">
        <is>
          <t>Pending</t>
        </is>
      </c>
      <c r="L20" s="224" t="inlineStr">
        <is>
          <t>Acquitted</t>
        </is>
      </c>
      <c r="M20" s="224" t="inlineStr">
        <is>
          <t>STR</t>
        </is>
      </c>
      <c r="N20" s="192" t="inlineStr">
        <is>
          <t>High</t>
        </is>
      </c>
      <c r="O20" s="225" t="inlineStr">
        <is>
          <t>Charged</t>
        </is>
      </c>
    </row>
    <row r="21" ht="19.5" customHeight="1" s="126">
      <c r="A21" s="189" t="inlineStr">
        <is>
          <t>SAR/2024/1018</t>
        </is>
      </c>
      <c r="B21" s="189" t="inlineStr">
        <is>
          <t>ALT20046</t>
        </is>
      </c>
      <c r="C21" s="189" t="inlineStr">
        <is>
          <t>CUST10046</t>
        </is>
      </c>
      <c r="D21" s="189" t="inlineStr">
        <is>
          <t>23/09/2024</t>
        </is>
      </c>
      <c r="E21" s="213" t="inlineStr">
        <is>
          <t>Structuring - Multiple txns below threshold</t>
        </is>
      </c>
      <c r="F21" s="189" t="n">
        <v>155000</v>
      </c>
      <c r="G21" s="189" t="inlineStr">
        <is>
          <t>AED</t>
        </is>
      </c>
      <c r="H21" s="189" t="inlineStr">
        <is>
          <t>L. Wang</t>
        </is>
      </c>
      <c r="I21" s="189" t="inlineStr">
        <is>
          <t>Yes</t>
        </is>
      </c>
      <c r="J21" s="189" t="inlineStr">
        <is>
          <t>FIU/2024/5046</t>
        </is>
      </c>
      <c r="K21" s="189" t="inlineStr">
        <is>
          <t>Received</t>
        </is>
      </c>
      <c r="L21" s="196" t="inlineStr">
        <is>
          <t>Under Investigation</t>
        </is>
      </c>
      <c r="M21" s="189" t="inlineStr">
        <is>
          <t>STR</t>
        </is>
      </c>
      <c r="N21" s="192" t="inlineStr">
        <is>
          <t>High</t>
        </is>
      </c>
      <c r="O21" s="213" t="inlineStr">
        <is>
          <t>Normal follow-up</t>
        </is>
      </c>
    </row>
    <row r="22" ht="19.5" customHeight="1" s="126">
      <c r="A22" s="189" t="inlineStr">
        <is>
          <t>SAR/2024/1019</t>
        </is>
      </c>
      <c r="B22" s="189" t="inlineStr">
        <is>
          <t>ALT20050</t>
        </is>
      </c>
      <c r="C22" s="189" t="inlineStr">
        <is>
          <t>CUST10050</t>
        </is>
      </c>
      <c r="D22" s="189" t="inlineStr">
        <is>
          <t>13/12/2024</t>
        </is>
      </c>
      <c r="E22" s="213" t="inlineStr">
        <is>
          <t>Unusual cash deposits - no business rationale</t>
        </is>
      </c>
      <c r="F22" s="189" t="n">
        <v>28000</v>
      </c>
      <c r="G22" s="189" t="inlineStr">
        <is>
          <t>EUR</t>
        </is>
      </c>
      <c r="H22" s="189" t="inlineStr">
        <is>
          <t>Head AML</t>
        </is>
      </c>
      <c r="I22" s="189" t="inlineStr">
        <is>
          <t>Yes</t>
        </is>
      </c>
      <c r="J22" s="189" t="inlineStr">
        <is>
          <t>FIU/2024/5050</t>
        </is>
      </c>
      <c r="K22" s="189" t="inlineStr">
        <is>
          <t>Received</t>
        </is>
      </c>
      <c r="L22" s="189" t="inlineStr">
        <is>
          <t>Intelligence Only</t>
        </is>
      </c>
      <c r="M22" s="189" t="inlineStr">
        <is>
          <t>Tipping-off Report</t>
        </is>
      </c>
      <c r="N22" s="214" t="inlineStr">
        <is>
          <t>Medium</t>
        </is>
      </c>
      <c r="O22" s="213" t="inlineStr">
        <is>
          <t>STR also filed</t>
        </is>
      </c>
    </row>
    <row r="23" ht="19.5" customHeight="1" s="126"/>
    <row r="24" ht="19.5" customHeight="1" s="126"/>
    <row r="25" ht="19.5" customHeight="1" s="126"/>
    <row r="26" ht="19.5" customHeight="1" s="126"/>
    <row r="27" ht="19.5" customHeight="1" s="126"/>
    <row r="28" ht="19.5" customHeight="1" s="126"/>
    <row r="29" ht="19.5" customHeight="1" s="126"/>
    <row r="30" ht="19.5" customHeight="1" s="126"/>
    <row r="31" ht="19.5" customHeight="1" s="126"/>
    <row r="32" ht="19.5" customHeight="1" s="126"/>
    <row r="33" ht="19.5" customHeight="1" s="126"/>
    <row r="34" ht="19.5" customHeight="1" s="126"/>
    <row r="35" ht="19.5" customHeight="1" s="126"/>
    <row r="36" ht="19.5" customHeight="1" s="126"/>
    <row r="37" ht="19.5" customHeight="1" s="126"/>
    <row r="38" ht="19.5" customHeight="1" s="126"/>
    <row r="39" ht="19.5" customHeight="1" s="126"/>
    <row r="40" ht="19.5" customHeight="1" s="126"/>
    <row r="41" ht="19.5" customHeight="1" s="126"/>
    <row r="42" ht="19.5" customHeight="1" s="126"/>
    <row r="43" ht="19.5" customHeight="1" s="126"/>
    <row r="44" ht="19.5" customHeight="1" s="126"/>
    <row r="45" ht="19.5" customHeight="1" s="126"/>
    <row r="46" ht="19.5" customHeight="1" s="126"/>
    <row r="47" ht="19.5" customHeight="1" s="126"/>
    <row r="48" ht="19.5" customHeight="1" s="126"/>
    <row r="49" ht="19.5" customHeight="1" s="126"/>
    <row r="50" ht="19.5" customHeight="1" s="126"/>
    <row r="51" ht="19.5" customHeight="1" s="126"/>
    <row r="52" ht="19.5" customHeight="1" s="126"/>
    <row r="53" ht="19.5" customHeight="1" s="126"/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5" min="1" max="1"/>
    <col width="14" customWidth="1" style="125" min="2" max="2"/>
    <col width="20" customWidth="1" style="125" min="3" max="4"/>
    <col width="14" customWidth="1" style="125" min="5" max="5"/>
    <col width="12" customWidth="1" style="125" min="6" max="7"/>
    <col width="14" customWidth="1" style="125" min="8" max="8"/>
    <col width="30" customWidth="1" style="125" min="9" max="9"/>
  </cols>
  <sheetData>
    <row r="1" ht="39.75" customHeight="1" s="126">
      <c r="A1" s="226" t="inlineStr">
        <is>
          <t>AML / KYC RISK ASSESSMENT MATRIX  |  Comprehensive Scoring</t>
        </is>
      </c>
    </row>
    <row r="2" ht="18" customHeight="1" s="126">
      <c r="A2" s="227" t="inlineStr">
        <is>
          <t>Inherent Risk × Control Effectiveness = Residual Risk  |  Risk Appetite: Medium-Low</t>
        </is>
      </c>
    </row>
    <row r="3" ht="19.5" customHeight="1" s="126">
      <c r="A3" s="155" t="inlineStr">
        <is>
          <t>Risk Factor</t>
        </is>
      </c>
      <c r="B3" s="155" t="inlineStr">
        <is>
          <t>Category</t>
        </is>
      </c>
      <c r="C3" s="155" t="inlineStr">
        <is>
          <t>Inherent Risk (1-10)</t>
        </is>
      </c>
      <c r="D3" s="155" t="inlineStr">
        <is>
          <t>Control Rating (1-10)</t>
        </is>
      </c>
      <c r="E3" s="155" t="inlineStr">
        <is>
          <t>Residual Risk</t>
        </is>
      </c>
      <c r="F3" s="155" t="inlineStr">
        <is>
          <t>Risk Level</t>
        </is>
      </c>
      <c r="G3" s="155" t="inlineStr">
        <is>
          <t>Weight (%)</t>
        </is>
      </c>
      <c r="H3" s="155" t="inlineStr">
        <is>
          <t>Weighted Score</t>
        </is>
      </c>
      <c r="I3" s="155" t="inlineStr">
        <is>
          <t>Mitigation Action</t>
        </is>
      </c>
    </row>
    <row r="4" ht="16.5" customHeight="1" s="126">
      <c r="A4" s="228" t="inlineStr">
        <is>
          <t>Customer Identity Verification</t>
        </is>
      </c>
      <c r="B4" s="185" t="inlineStr">
        <is>
          <t>KYC</t>
        </is>
      </c>
      <c r="C4" s="185" t="n">
        <v>8</v>
      </c>
      <c r="D4" s="185" t="n">
        <v>7</v>
      </c>
      <c r="E4" s="229">
        <f>ROUND(C4*(1-D4/10),1)</f>
        <v/>
      </c>
      <c r="F4" s="229">
        <f>IF(E4&gt;=7,"High",IF(E4&gt;=4,"Medium","Low"))</f>
        <v/>
      </c>
      <c r="G4" s="230" t="n">
        <v>15</v>
      </c>
      <c r="H4" s="229">
        <f>E4*G4/100</f>
        <v/>
      </c>
      <c r="I4" s="231" t="inlineStr">
        <is>
          <t>Core KYC control — mandatory</t>
        </is>
      </c>
    </row>
    <row r="5" ht="16.5" customHeight="1" s="126">
      <c r="A5" s="232" t="inlineStr">
        <is>
          <t>PEP Screening</t>
        </is>
      </c>
      <c r="B5" s="189" t="inlineStr">
        <is>
          <t>KYC/AML</t>
        </is>
      </c>
      <c r="C5" s="189" t="n">
        <v>9</v>
      </c>
      <c r="D5" s="189" t="n">
        <v>8</v>
      </c>
      <c r="E5" s="229">
        <f>ROUND(C5*(1-D5/10),1)</f>
        <v/>
      </c>
      <c r="F5" s="229">
        <f>IF(E5&gt;=7,"High",IF(E5&gt;=4,"Medium","Low"))</f>
        <v/>
      </c>
      <c r="G5" s="233" t="n">
        <v>12</v>
      </c>
      <c r="H5" s="229">
        <f>E5*G5/100</f>
        <v/>
      </c>
      <c r="I5" s="234" t="inlineStr">
        <is>
          <t>Enhanced monitoring + MLRO approval</t>
        </is>
      </c>
    </row>
    <row r="6" ht="16.5" customHeight="1" s="126">
      <c r="A6" s="228" t="inlineStr">
        <is>
          <t>Sanctions Screening</t>
        </is>
      </c>
      <c r="B6" s="185" t="inlineStr">
        <is>
          <t>AML</t>
        </is>
      </c>
      <c r="C6" s="185" t="n">
        <v>10</v>
      </c>
      <c r="D6" s="185" t="n">
        <v>9</v>
      </c>
      <c r="E6" s="229">
        <f>ROUND(C6*(1-D6/10),1)</f>
        <v/>
      </c>
      <c r="F6" s="229">
        <f>IF(E6&gt;=7,"High",IF(E6&gt;=4,"Medium","Low"))</f>
        <v/>
      </c>
      <c r="G6" s="230" t="n">
        <v>15</v>
      </c>
      <c r="H6" s="229">
        <f>E6*G6/100</f>
        <v/>
      </c>
      <c r="I6" s="231" t="inlineStr">
        <is>
          <t>Real-time screening required</t>
        </is>
      </c>
    </row>
    <row r="7" ht="16.5" customHeight="1" s="126">
      <c r="A7" s="232" t="inlineStr">
        <is>
          <t>Transaction Monitoring</t>
        </is>
      </c>
      <c r="B7" s="189" t="inlineStr">
        <is>
          <t>AML</t>
        </is>
      </c>
      <c r="C7" s="189" t="n">
        <v>8</v>
      </c>
      <c r="D7" s="189" t="n">
        <v>7</v>
      </c>
      <c r="E7" s="229">
        <f>ROUND(C7*(1-D7/10),1)</f>
        <v/>
      </c>
      <c r="F7" s="229">
        <f>IF(E7&gt;=7,"High",IF(E7&gt;=4,"Medium","Low"))</f>
        <v/>
      </c>
      <c r="G7" s="233" t="n">
        <v>12</v>
      </c>
      <c r="H7" s="229">
        <f>E7*G7/100</f>
        <v/>
      </c>
      <c r="I7" s="234" t="inlineStr">
        <is>
          <t>Rule-based + AI anomaly detection</t>
        </is>
      </c>
    </row>
    <row r="8" ht="16.5" customHeight="1" s="126">
      <c r="A8" s="228" t="inlineStr">
        <is>
          <t>Source of Funds Verification</t>
        </is>
      </c>
      <c r="B8" s="185" t="inlineStr">
        <is>
          <t>EDD</t>
        </is>
      </c>
      <c r="C8" s="185" t="n">
        <v>7</v>
      </c>
      <c r="D8" s="185" t="n">
        <v>6</v>
      </c>
      <c r="E8" s="229">
        <f>ROUND(C8*(1-D8/10),1)</f>
        <v/>
      </c>
      <c r="F8" s="229">
        <f>IF(E8&gt;=7,"High",IF(E8&gt;=4,"Medium","Low"))</f>
        <v/>
      </c>
      <c r="G8" s="230" t="n">
        <v>10</v>
      </c>
      <c r="H8" s="229">
        <f>E8*G8/100</f>
        <v/>
      </c>
      <c r="I8" s="231" t="inlineStr">
        <is>
          <t>Documentary evidence mandatory</t>
        </is>
      </c>
    </row>
    <row r="9" ht="16.5" customHeight="1" s="126">
      <c r="A9" s="232" t="inlineStr">
        <is>
          <t>UBO Identification</t>
        </is>
      </c>
      <c r="B9" s="189" t="inlineStr">
        <is>
          <t>EDD/KYC</t>
        </is>
      </c>
      <c r="C9" s="189" t="n">
        <v>8</v>
      </c>
      <c r="D9" s="189" t="n">
        <v>7</v>
      </c>
      <c r="E9" s="229">
        <f>ROUND(C9*(1-D9/10),1)</f>
        <v/>
      </c>
      <c r="F9" s="229">
        <f>IF(E9&gt;=7,"High",IF(E9&gt;=4,"Medium","Low"))</f>
        <v/>
      </c>
      <c r="G9" s="233" t="n">
        <v>10</v>
      </c>
      <c r="H9" s="229">
        <f>E9*G9/100</f>
        <v/>
      </c>
      <c r="I9" s="234" t="inlineStr">
        <is>
          <t>For complex/corporate structures</t>
        </is>
      </c>
    </row>
    <row r="10" ht="16.5" customHeight="1" s="126">
      <c r="A10" s="228" t="inlineStr">
        <is>
          <t>Geographic Risk Assessment</t>
        </is>
      </c>
      <c r="B10" s="185" t="inlineStr">
        <is>
          <t>AML</t>
        </is>
      </c>
      <c r="C10" s="185" t="n">
        <v>7</v>
      </c>
      <c r="D10" s="185" t="n">
        <v>8</v>
      </c>
      <c r="E10" s="229">
        <f>ROUND(C10*(1-D10/10),1)</f>
        <v/>
      </c>
      <c r="F10" s="229">
        <f>IF(E10&gt;=7,"High",IF(E10&gt;=4,"Medium","Low"))</f>
        <v/>
      </c>
      <c r="G10" s="230" t="n">
        <v>8</v>
      </c>
      <c r="H10" s="229">
        <f>E10*G10/100</f>
        <v/>
      </c>
      <c r="I10" s="231" t="inlineStr">
        <is>
          <t>Country risk model — quarterly update</t>
        </is>
      </c>
    </row>
    <row r="11" ht="16.5" customHeight="1" s="126">
      <c r="A11" s="232" t="inlineStr">
        <is>
          <t>Cash Threshold Monitoring</t>
        </is>
      </c>
      <c r="B11" s="189" t="inlineStr">
        <is>
          <t>AML</t>
        </is>
      </c>
      <c r="C11" s="189" t="n">
        <v>6</v>
      </c>
      <c r="D11" s="189" t="n">
        <v>7</v>
      </c>
      <c r="E11" s="229">
        <f>ROUND(C11*(1-D11/10),1)</f>
        <v/>
      </c>
      <c r="F11" s="229">
        <f>IF(E11&gt;=7,"High",IF(E11&gt;=4,"Medium","Low"))</f>
        <v/>
      </c>
      <c r="G11" s="233" t="n">
        <v>8</v>
      </c>
      <c r="H11" s="229">
        <f>E11*G11/100</f>
        <v/>
      </c>
      <c r="I11" s="234" t="inlineStr">
        <is>
          <t>CTR auto-filing above $10,000</t>
        </is>
      </c>
    </row>
    <row r="12" ht="16.5" customHeight="1" s="126">
      <c r="A12" s="228" t="inlineStr">
        <is>
          <t>Adverse Media Screening</t>
        </is>
      </c>
      <c r="B12" s="185" t="inlineStr">
        <is>
          <t>KYC</t>
        </is>
      </c>
      <c r="C12" s="185" t="n">
        <v>7</v>
      </c>
      <c r="D12" s="185" t="n">
        <v>6</v>
      </c>
      <c r="E12" s="229">
        <f>ROUND(C12*(1-D12/10),1)</f>
        <v/>
      </c>
      <c r="F12" s="229">
        <f>IF(E12&gt;=7,"High",IF(E12&gt;=4,"Medium","Low"))</f>
        <v/>
      </c>
      <c r="G12" s="230" t="n">
        <v>5</v>
      </c>
      <c r="H12" s="229">
        <f>E12*G12/100</f>
        <v/>
      </c>
      <c r="I12" s="231" t="inlineStr">
        <is>
          <t>Automated daily + manual quarterly</t>
        </is>
      </c>
    </row>
    <row r="13" ht="16.5" customHeight="1" s="126">
      <c r="A13" s="232" t="inlineStr">
        <is>
          <t>SAR Filing Timeliness</t>
        </is>
      </c>
      <c r="B13" s="189" t="inlineStr">
        <is>
          <t>AML</t>
        </is>
      </c>
      <c r="C13" s="189" t="n">
        <v>8</v>
      </c>
      <c r="D13" s="189" t="n">
        <v>8</v>
      </c>
      <c r="E13" s="229">
        <f>ROUND(C13*(1-D13/10),1)</f>
        <v/>
      </c>
      <c r="F13" s="229">
        <f>IF(E13&gt;=7,"High",IF(E13&gt;=4,"Medium","Low"))</f>
        <v/>
      </c>
      <c r="G13" s="233" t="n">
        <v>5</v>
      </c>
      <c r="H13" s="229">
        <f>E13*G13/100</f>
        <v/>
      </c>
      <c r="I13" s="234" t="inlineStr">
        <is>
          <t>30-day SLA from detection to filing</t>
        </is>
      </c>
    </row>
    <row r="14" ht="16.5" customHeight="1" s="126">
      <c r="A14" s="228" t="inlineStr">
        <is>
          <t>Wire Transfer Monitoring</t>
        </is>
      </c>
      <c r="B14" s="185" t="inlineStr">
        <is>
          <t>AML</t>
        </is>
      </c>
      <c r="C14" s="185" t="n">
        <v>8</v>
      </c>
      <c r="D14" s="185" t="n">
        <v>7</v>
      </c>
      <c r="E14" s="229">
        <f>ROUND(C14*(1-D14/10),1)</f>
        <v/>
      </c>
      <c r="F14" s="229">
        <f>IF(E14&gt;=7,"High",IF(E14&gt;=4,"Medium","Low"))</f>
        <v/>
      </c>
      <c r="G14" s="230" t="n">
        <v>6</v>
      </c>
      <c r="H14" s="229">
        <f>E14*G14/100</f>
        <v/>
      </c>
      <c r="I14" s="231" t="inlineStr">
        <is>
          <t>SWIFT monitoring — FATF compliance</t>
        </is>
      </c>
    </row>
    <row r="15" ht="16.5" customHeight="1" s="126">
      <c r="A15" s="232" t="inlineStr">
        <is>
          <t>EDD Review Frequency</t>
        </is>
      </c>
      <c r="B15" s="189" t="inlineStr">
        <is>
          <t>EDD</t>
        </is>
      </c>
      <c r="C15" s="189" t="n">
        <v>7</v>
      </c>
      <c r="D15" s="189" t="n">
        <v>7</v>
      </c>
      <c r="E15" s="229">
        <f>ROUND(C15*(1-D15/10),1)</f>
        <v/>
      </c>
      <c r="F15" s="229">
        <f>IF(E15&gt;=7,"High",IF(E15&gt;=4,"Medium","Low"))</f>
        <v/>
      </c>
      <c r="G15" s="233" t="n">
        <v>5</v>
      </c>
      <c r="H15" s="229">
        <f>E15*G15/100</f>
        <v/>
      </c>
      <c r="I15" s="234" t="inlineStr">
        <is>
          <t>Annual for High Risk, biennial for Med</t>
        </is>
      </c>
    </row>
    <row r="16" ht="16.5" customHeight="1" s="126">
      <c r="A16" s="228" t="inlineStr">
        <is>
          <t>Training &amp; Awareness</t>
        </is>
      </c>
      <c r="B16" s="185" t="inlineStr">
        <is>
          <t>Governance</t>
        </is>
      </c>
      <c r="C16" s="185" t="n">
        <v>6</v>
      </c>
      <c r="D16" s="185" t="n">
        <v>8</v>
      </c>
      <c r="E16" s="229">
        <f>ROUND(C16*(1-D16/10),1)</f>
        <v/>
      </c>
      <c r="F16" s="229">
        <f>IF(E16&gt;=7,"High",IF(E16&gt;=4,"Medium","Low"))</f>
        <v/>
      </c>
      <c r="G16" s="230" t="n">
        <v>4</v>
      </c>
      <c r="H16" s="229">
        <f>E16*G16/100</f>
        <v/>
      </c>
      <c r="I16" s="231" t="inlineStr">
        <is>
          <t>Mandatory annual AML training</t>
        </is>
      </c>
    </row>
    <row r="17" ht="16.5" customHeight="1" s="126">
      <c r="A17" s="232" t="inlineStr">
        <is>
          <t>Record Keeping</t>
        </is>
      </c>
      <c r="B17" s="189" t="inlineStr">
        <is>
          <t>Compliance</t>
        </is>
      </c>
      <c r="C17" s="189" t="n">
        <v>5</v>
      </c>
      <c r="D17" s="189" t="n">
        <v>9</v>
      </c>
      <c r="E17" s="229">
        <f>ROUND(C17*(1-D17/10),1)</f>
        <v/>
      </c>
      <c r="F17" s="229">
        <f>IF(E17&gt;=7,"High",IF(E17&gt;=4,"Medium","Low"))</f>
        <v/>
      </c>
      <c r="G17" s="233" t="n">
        <v>3</v>
      </c>
      <c r="H17" s="229">
        <f>E17*G17/100</f>
        <v/>
      </c>
      <c r="I17" s="234" t="inlineStr">
        <is>
          <t>5-year document retention policy</t>
        </is>
      </c>
    </row>
    <row r="18" ht="16.5" customHeight="1" s="126">
      <c r="A18" s="228" t="inlineStr">
        <is>
          <t>Regulatory Reporting</t>
        </is>
      </c>
      <c r="B18" s="185" t="inlineStr">
        <is>
          <t>Governance</t>
        </is>
      </c>
      <c r="C18" s="185" t="n">
        <v>9</v>
      </c>
      <c r="D18" s="185" t="n">
        <v>8</v>
      </c>
      <c r="E18" s="229">
        <f>ROUND(C18*(1-D18/10),1)</f>
        <v/>
      </c>
      <c r="F18" s="229">
        <f>IF(E18&gt;=7,"High",IF(E18&gt;=4,"Medium","Low"))</f>
        <v/>
      </c>
      <c r="G18" s="230" t="n">
        <v>4</v>
      </c>
      <c r="H18" s="229">
        <f>E18*G18/100</f>
        <v/>
      </c>
      <c r="I18" s="231" t="inlineStr">
        <is>
          <t>Timely CTR/SAR reporting to FIU</t>
        </is>
      </c>
    </row>
    <row r="19" ht="21.75" customHeight="1" s="126">
      <c r="A19" s="235" t="inlineStr">
        <is>
          <t>COMPOSITE RISK SCORE (Weighted Average)</t>
        </is>
      </c>
      <c r="B19" s="199" t="n"/>
      <c r="C19" s="199" t="n"/>
      <c r="D19" s="199" t="n"/>
      <c r="E19" s="199" t="n"/>
      <c r="F19" s="199" t="n"/>
      <c r="G19" s="236">
        <f>SUM(G4:G18)</f>
        <v/>
      </c>
      <c r="H19" s="237">
        <f>SUM(H4:H18)</f>
        <v/>
      </c>
    </row>
  </sheetData>
  <mergeCells count="3">
    <mergeCell ref="A19:F19"/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25" min="1" max="1"/>
    <col width="10" customWidth="1" style="125" min="2" max="2"/>
    <col width="12" customWidth="1" style="125" min="3" max="3"/>
    <col width="18" customWidth="1" style="125" min="4" max="4"/>
    <col width="14" customWidth="1" style="125" min="5" max="5"/>
    <col width="10" customWidth="1" style="125" min="6" max="6"/>
    <col width="20" customWidth="1" style="125" min="7" max="7"/>
    <col width="16" customWidth="1" style="125" min="8" max="8"/>
    <col width="28" customWidth="1" style="125" min="9" max="9"/>
    <col width="12" customWidth="1" style="125" min="10" max="11"/>
    <col width="20" customWidth="1" style="125" min="12" max="12"/>
    <col width="15" customWidth="1" style="125" min="13" max="13"/>
    <col width="14" customWidth="1" style="125" min="14" max="14"/>
  </cols>
  <sheetData>
    <row r="1" ht="39.75" customHeight="1" s="126">
      <c r="A1" s="238" t="inlineStr">
        <is>
          <t>TRANSACTION MONITORING REGISTER  |  50 Flagged Transactions</t>
        </is>
      </c>
    </row>
    <row r="2" ht="18" customHeight="1" s="126">
      <c r="A2" s="239" t="inlineStr">
        <is>
          <t>Rule-Based &amp; AI-Triggered Suspicious Transaction Records</t>
        </is>
      </c>
    </row>
    <row r="3" ht="19.5" customHeight="1" s="126">
      <c r="A3" s="240" t="inlineStr">
        <is>
          <t>Txn ID</t>
        </is>
      </c>
      <c r="B3" s="240" t="inlineStr">
        <is>
          <t>Cust ID</t>
        </is>
      </c>
      <c r="C3" s="240" t="inlineStr">
        <is>
          <t>Date</t>
        </is>
      </c>
      <c r="D3" s="240" t="inlineStr">
        <is>
          <t>Txn Type</t>
        </is>
      </c>
      <c r="E3" s="240" t="inlineStr">
        <is>
          <t>Amount</t>
        </is>
      </c>
      <c r="F3" s="240" t="inlineStr">
        <is>
          <t>Currency</t>
        </is>
      </c>
      <c r="G3" s="240" t="inlineStr">
        <is>
          <t>Counterparty</t>
        </is>
      </c>
      <c r="H3" s="240" t="inlineStr">
        <is>
          <t>Country</t>
        </is>
      </c>
      <c r="I3" s="240" t="inlineStr">
        <is>
          <t>Rule Triggered</t>
        </is>
      </c>
      <c r="J3" s="240" t="inlineStr">
        <is>
          <t>Risk Flag</t>
        </is>
      </c>
      <c r="K3" s="240" t="inlineStr">
        <is>
          <t>Reviewed</t>
        </is>
      </c>
      <c r="L3" s="240" t="inlineStr">
        <is>
          <t>Action</t>
        </is>
      </c>
      <c r="M3" s="240" t="inlineStr">
        <is>
          <t>Reviewer</t>
        </is>
      </c>
      <c r="N3" s="240" t="inlineStr">
        <is>
          <t>Date Reviewed</t>
        </is>
      </c>
    </row>
    <row r="4" ht="16.5" customHeight="1" s="126">
      <c r="A4" s="241" t="inlineStr">
        <is>
          <t>TXN40001</t>
        </is>
      </c>
      <c r="B4" s="241" t="inlineStr">
        <is>
          <t>CUST10001</t>
        </is>
      </c>
      <c r="C4" s="241" t="inlineStr">
        <is>
          <t>01/01/2024</t>
        </is>
      </c>
      <c r="D4" s="241" t="inlineStr">
        <is>
          <t>Wire Transfer</t>
        </is>
      </c>
      <c r="E4" s="241" t="n">
        <v>48000</v>
      </c>
      <c r="F4" s="241" t="inlineStr">
        <is>
          <t>USD</t>
        </is>
      </c>
      <c r="G4" s="242" t="inlineStr">
        <is>
          <t>Carlos Mendez</t>
        </is>
      </c>
      <c r="H4" s="241" t="inlineStr">
        <is>
          <t>UAE</t>
        </is>
      </c>
      <c r="I4" s="243" t="inlineStr">
        <is>
          <t>Amount &gt; $10,000 Cash</t>
        </is>
      </c>
      <c r="J4" s="194" t="inlineStr">
        <is>
          <t>High</t>
        </is>
      </c>
      <c r="K4" s="241" t="inlineStr">
        <is>
          <t>Yes</t>
        </is>
      </c>
      <c r="L4" s="243" t="inlineStr">
        <is>
          <t>Refer to MLRO</t>
        </is>
      </c>
      <c r="M4" s="241" t="inlineStr">
        <is>
          <t>A. Kumar</t>
        </is>
      </c>
      <c r="N4" s="241" t="inlineStr">
        <is>
          <t>06/01/2024</t>
        </is>
      </c>
    </row>
    <row r="5" ht="16.5" customHeight="1" s="126">
      <c r="A5" s="189" t="inlineStr">
        <is>
          <t>TXN40002</t>
        </is>
      </c>
      <c r="B5" s="189" t="inlineStr">
        <is>
          <t>CUST10002</t>
        </is>
      </c>
      <c r="C5" s="189" t="inlineStr">
        <is>
          <t>02/02/2024</t>
        </is>
      </c>
      <c r="D5" s="189" t="inlineStr">
        <is>
          <t>Cash Deposit</t>
        </is>
      </c>
      <c r="E5" s="189" t="n">
        <v>88000</v>
      </c>
      <c r="F5" s="189" t="inlineStr">
        <is>
          <t>EUR</t>
        </is>
      </c>
      <c r="G5" s="190" t="inlineStr">
        <is>
          <t>Anna Kowalski</t>
        </is>
      </c>
      <c r="H5" s="189" t="inlineStr">
        <is>
          <t>Panama</t>
        </is>
      </c>
      <c r="I5" s="213" t="inlineStr">
        <is>
          <t>Rapid in-out same day</t>
        </is>
      </c>
      <c r="J5" s="192" t="inlineStr">
        <is>
          <t>Medium</t>
        </is>
      </c>
      <c r="K5" s="189" t="inlineStr">
        <is>
          <t>Yes</t>
        </is>
      </c>
      <c r="L5" s="213" t="inlineStr">
        <is>
          <t>Contact Customer</t>
        </is>
      </c>
      <c r="M5" s="189" t="inlineStr">
        <is>
          <t>S. Patel</t>
        </is>
      </c>
      <c r="N5" s="189" t="inlineStr">
        <is>
          <t>07/02/2024</t>
        </is>
      </c>
    </row>
    <row r="6" ht="16.5" customHeight="1" s="126">
      <c r="A6" s="241" t="inlineStr">
        <is>
          <t>TXN40003</t>
        </is>
      </c>
      <c r="B6" s="241" t="inlineStr">
        <is>
          <t>CUST10003</t>
        </is>
      </c>
      <c r="C6" s="241" t="inlineStr">
        <is>
          <t>03/03/2024</t>
        </is>
      </c>
      <c r="D6" s="241" t="inlineStr">
        <is>
          <t>Cash Withdrawal</t>
        </is>
      </c>
      <c r="E6" s="241" t="n">
        <v>95000</v>
      </c>
      <c r="F6" s="241" t="inlineStr">
        <is>
          <t>GBP</t>
        </is>
      </c>
      <c r="G6" s="242" t="inlineStr">
        <is>
          <t>Raj Patel</t>
        </is>
      </c>
      <c r="H6" s="241" t="inlineStr">
        <is>
          <t>British Virgin Islands</t>
        </is>
      </c>
      <c r="I6" s="243" t="inlineStr">
        <is>
          <t>High-risk jurisdiction transfer</t>
        </is>
      </c>
      <c r="J6" s="187" t="inlineStr">
        <is>
          <t>Low</t>
        </is>
      </c>
      <c r="K6" s="241" t="inlineStr">
        <is>
          <t>Yes</t>
        </is>
      </c>
      <c r="L6" s="243" t="inlineStr">
        <is>
          <t>Freeze Transaction</t>
        </is>
      </c>
      <c r="M6" s="241" t="inlineStr">
        <is>
          <t>M. Ali</t>
        </is>
      </c>
      <c r="N6" s="241" t="inlineStr">
        <is>
          <t>10/03/2024</t>
        </is>
      </c>
    </row>
    <row r="7" ht="16.5" customHeight="1" s="126">
      <c r="A7" s="189" t="inlineStr">
        <is>
          <t>TXN40004</t>
        </is>
      </c>
      <c r="B7" s="189" t="inlineStr">
        <is>
          <t>CUST10004</t>
        </is>
      </c>
      <c r="C7" s="189" t="inlineStr">
        <is>
          <t>04/04/2024</t>
        </is>
      </c>
      <c r="D7" s="189" t="inlineStr">
        <is>
          <t>SWIFT Transfer</t>
        </is>
      </c>
      <c r="E7" s="189" t="n">
        <v>67000</v>
      </c>
      <c r="F7" s="189" t="inlineStr">
        <is>
          <t>AED</t>
        </is>
      </c>
      <c r="G7" s="190" t="inlineStr">
        <is>
          <t>Sophie Dubois</t>
        </is>
      </c>
      <c r="H7" s="189" t="inlineStr">
        <is>
          <t>Cayman Islands</t>
        </is>
      </c>
      <c r="I7" s="213" t="inlineStr">
        <is>
          <t>Multiple transactions structuring</t>
        </is>
      </c>
      <c r="J7" s="194" t="inlineStr">
        <is>
          <t>High</t>
        </is>
      </c>
      <c r="K7" s="189" t="inlineStr">
        <is>
          <t>Yes</t>
        </is>
      </c>
      <c r="L7" s="213" t="inlineStr">
        <is>
          <t>Ongoing Review</t>
        </is>
      </c>
      <c r="M7" s="189" t="inlineStr">
        <is>
          <t>R. Chen</t>
        </is>
      </c>
      <c r="N7" s="189" t="inlineStr">
        <is>
          <t>14/04/2024</t>
        </is>
      </c>
    </row>
    <row r="8" ht="16.5" customHeight="1" s="126">
      <c r="A8" s="241" t="inlineStr">
        <is>
          <t>TXN40005</t>
        </is>
      </c>
      <c r="B8" s="241" t="inlineStr">
        <is>
          <t>CUST10005</t>
        </is>
      </c>
      <c r="C8" s="241" t="inlineStr">
        <is>
          <t>05/05/2024</t>
        </is>
      </c>
      <c r="D8" s="241" t="inlineStr">
        <is>
          <t>Internal Transfer</t>
        </is>
      </c>
      <c r="E8" s="241" t="n">
        <v>8500</v>
      </c>
      <c r="F8" s="241" t="inlineStr">
        <is>
          <t>USD</t>
        </is>
      </c>
      <c r="G8" s="242" t="inlineStr">
        <is>
          <t>Omar Hassan</t>
        </is>
      </c>
      <c r="H8" s="241" t="inlineStr">
        <is>
          <t>Switzerland</t>
        </is>
      </c>
      <c r="I8" s="243" t="inlineStr">
        <is>
          <t>Dormant account sudden activity</t>
        </is>
      </c>
      <c r="J8" s="192" t="inlineStr">
        <is>
          <t>Medium</t>
        </is>
      </c>
      <c r="K8" s="241" t="inlineStr">
        <is>
          <t>No</t>
        </is>
      </c>
      <c r="L8" s="243" t="inlineStr">
        <is>
          <t>Refer to MLRO</t>
        </is>
      </c>
      <c r="M8" s="241" t="inlineStr">
        <is>
          <t>J. Smith</t>
        </is>
      </c>
      <c r="N8" s="241" t="n"/>
    </row>
    <row r="9" ht="16.5" customHeight="1" s="126">
      <c r="A9" s="189" t="inlineStr">
        <is>
          <t>TXN40006</t>
        </is>
      </c>
      <c r="B9" s="189" t="inlineStr">
        <is>
          <t>CUST10006</t>
        </is>
      </c>
      <c r="C9" s="189" t="inlineStr">
        <is>
          <t>06/06/2024</t>
        </is>
      </c>
      <c r="D9" s="189" t="inlineStr">
        <is>
          <t>Crypto Exchange</t>
        </is>
      </c>
      <c r="E9" s="189" t="n">
        <v>9800</v>
      </c>
      <c r="F9" s="189" t="inlineStr">
        <is>
          <t>EUR</t>
        </is>
      </c>
      <c r="G9" s="190" t="inlineStr">
        <is>
          <t>Elena Ivanova</t>
        </is>
      </c>
      <c r="H9" s="189" t="inlineStr">
        <is>
          <t>Russia</t>
        </is>
      </c>
      <c r="I9" s="213" t="inlineStr">
        <is>
          <t>Round-dollar amounts</t>
        </is>
      </c>
      <c r="J9" s="187" t="inlineStr">
        <is>
          <t>Low</t>
        </is>
      </c>
      <c r="K9" s="189" t="inlineStr">
        <is>
          <t>Yes</t>
        </is>
      </c>
      <c r="L9" s="213" t="inlineStr">
        <is>
          <t>Monitor &amp; Watch</t>
        </is>
      </c>
      <c r="M9" s="189" t="inlineStr">
        <is>
          <t>L. Wang</t>
        </is>
      </c>
      <c r="N9" s="189" t="inlineStr">
        <is>
          <t>10/06/2024</t>
        </is>
      </c>
    </row>
    <row r="10" ht="16.5" customHeight="1" s="126">
      <c r="A10" s="241" t="inlineStr">
        <is>
          <t>TXN40007</t>
        </is>
      </c>
      <c r="B10" s="241" t="inlineStr">
        <is>
          <t>CUST10007</t>
        </is>
      </c>
      <c r="C10" s="241" t="inlineStr">
        <is>
          <t>07/07/2024</t>
        </is>
      </c>
      <c r="D10" s="241" t="inlineStr">
        <is>
          <t>Real Estate Payment</t>
        </is>
      </c>
      <c r="E10" s="241" t="n">
        <v>88000</v>
      </c>
      <c r="F10" s="241" t="inlineStr">
        <is>
          <t>GBP</t>
        </is>
      </c>
      <c r="G10" s="242" t="inlineStr">
        <is>
          <t>Michael Chen</t>
        </is>
      </c>
      <c r="H10" s="241" t="inlineStr">
        <is>
          <t>Nigeria</t>
        </is>
      </c>
      <c r="I10" s="243" t="inlineStr">
        <is>
          <t>Velocity threshold breach</t>
        </is>
      </c>
      <c r="J10" s="194" t="inlineStr">
        <is>
          <t>High</t>
        </is>
      </c>
      <c r="K10" s="241" t="inlineStr">
        <is>
          <t>Pending</t>
        </is>
      </c>
      <c r="L10" s="243" t="inlineStr">
        <is>
          <t>Ongoing Review</t>
        </is>
      </c>
      <c r="M10" s="241" t="inlineStr">
        <is>
          <t>P. Nair</t>
        </is>
      </c>
      <c r="N10" s="241" t="n"/>
    </row>
    <row r="11" ht="16.5" customHeight="1" s="126">
      <c r="A11" s="189" t="inlineStr">
        <is>
          <t>TXN40008</t>
        </is>
      </c>
      <c r="B11" s="189" t="inlineStr">
        <is>
          <t>CUST10008</t>
        </is>
      </c>
      <c r="C11" s="189" t="inlineStr">
        <is>
          <t>08/08/2024</t>
        </is>
      </c>
      <c r="D11" s="189" t="inlineStr">
        <is>
          <t>Trade Finance</t>
        </is>
      </c>
      <c r="E11" s="189" t="n">
        <v>200000</v>
      </c>
      <c r="F11" s="189" t="inlineStr">
        <is>
          <t>AED</t>
        </is>
      </c>
      <c r="G11" s="190" t="inlineStr">
        <is>
          <t>Aisha Bakr</t>
        </is>
      </c>
      <c r="H11" s="189" t="inlineStr">
        <is>
          <t>Iran</t>
        </is>
      </c>
      <c r="I11" s="213" t="inlineStr">
        <is>
          <t>PEP counterparty</t>
        </is>
      </c>
      <c r="J11" s="192" t="inlineStr">
        <is>
          <t>Medium</t>
        </is>
      </c>
      <c r="K11" s="189" t="inlineStr">
        <is>
          <t>No</t>
        </is>
      </c>
      <c r="L11" s="213" t="inlineStr">
        <is>
          <t>Block &amp; Report</t>
        </is>
      </c>
      <c r="M11" s="189" t="inlineStr">
        <is>
          <t>F. Ahmed</t>
        </is>
      </c>
      <c r="N11" s="189" t="n"/>
    </row>
    <row r="12" ht="16.5" customHeight="1" s="126">
      <c r="A12" s="241" t="inlineStr">
        <is>
          <t>TXN40009</t>
        </is>
      </c>
      <c r="B12" s="241" t="inlineStr">
        <is>
          <t>CUST10009</t>
        </is>
      </c>
      <c r="C12" s="241" t="inlineStr">
        <is>
          <t>09/09/2024</t>
        </is>
      </c>
      <c r="D12" s="241" t="inlineStr">
        <is>
          <t>Card Transaction</t>
        </is>
      </c>
      <c r="E12" s="241" t="n">
        <v>42000</v>
      </c>
      <c r="F12" s="241" t="inlineStr">
        <is>
          <t>USD</t>
        </is>
      </c>
      <c r="G12" s="242" t="inlineStr">
        <is>
          <t>Pedro Alves</t>
        </is>
      </c>
      <c r="H12" s="241" t="inlineStr">
        <is>
          <t>North Korea</t>
        </is>
      </c>
      <c r="I12" s="243" t="inlineStr">
        <is>
          <t>Sanctions list match</t>
        </is>
      </c>
      <c r="J12" s="187" t="inlineStr">
        <is>
          <t>Low</t>
        </is>
      </c>
      <c r="K12" s="241" t="inlineStr">
        <is>
          <t>Yes</t>
        </is>
      </c>
      <c r="L12" s="243" t="inlineStr">
        <is>
          <t>Refer to MLRO</t>
        </is>
      </c>
      <c r="M12" s="241" t="inlineStr">
        <is>
          <t>T. Obi</t>
        </is>
      </c>
      <c r="N12" s="241" t="inlineStr">
        <is>
          <t>17/09/2024</t>
        </is>
      </c>
    </row>
    <row r="13" ht="16.5" customHeight="1" s="126">
      <c r="A13" s="189" t="inlineStr">
        <is>
          <t>TXN40010</t>
        </is>
      </c>
      <c r="B13" s="189" t="inlineStr">
        <is>
          <t>CUST10010</t>
        </is>
      </c>
      <c r="C13" s="189" t="inlineStr">
        <is>
          <t>10/10/2024</t>
        </is>
      </c>
      <c r="D13" s="189" t="inlineStr">
        <is>
          <t>Loan Drawdown</t>
        </is>
      </c>
      <c r="E13" s="189" t="n">
        <v>100000</v>
      </c>
      <c r="F13" s="189" t="inlineStr">
        <is>
          <t>EUR</t>
        </is>
      </c>
      <c r="G13" s="190" t="inlineStr">
        <is>
          <t>Nadia Petrova</t>
        </is>
      </c>
      <c r="H13" s="189" t="inlineStr">
        <is>
          <t>Myanmar</t>
        </is>
      </c>
      <c r="I13" s="213" t="inlineStr">
        <is>
          <t>Unusual frequency pattern</t>
        </is>
      </c>
      <c r="J13" s="194" t="inlineStr">
        <is>
          <t>High</t>
        </is>
      </c>
      <c r="K13" s="189" t="inlineStr">
        <is>
          <t>Yes</t>
        </is>
      </c>
      <c r="L13" s="213" t="inlineStr">
        <is>
          <t>Monitor &amp; Watch</t>
        </is>
      </c>
      <c r="M13" s="189" t="inlineStr">
        <is>
          <t>Head AML</t>
        </is>
      </c>
      <c r="N13" s="189" t="inlineStr">
        <is>
          <t>19/10/2024</t>
        </is>
      </c>
    </row>
    <row r="14" ht="16.5" customHeight="1" s="126">
      <c r="A14" s="241" t="inlineStr">
        <is>
          <t>TXN40011</t>
        </is>
      </c>
      <c r="B14" s="241" t="inlineStr">
        <is>
          <t>CUST10011</t>
        </is>
      </c>
      <c r="C14" s="241" t="inlineStr">
        <is>
          <t>11/11/2024</t>
        </is>
      </c>
      <c r="D14" s="241" t="inlineStr">
        <is>
          <t>Wire Transfer</t>
        </is>
      </c>
      <c r="E14" s="241" t="n">
        <v>38000</v>
      </c>
      <c r="F14" s="241" t="inlineStr">
        <is>
          <t>GBP</t>
        </is>
      </c>
      <c r="G14" s="242" t="inlineStr">
        <is>
          <t>James Okafor</t>
        </is>
      </c>
      <c r="H14" s="241" t="inlineStr">
        <is>
          <t>China</t>
        </is>
      </c>
      <c r="I14" s="243" t="inlineStr">
        <is>
          <t>Cross-border to FATF grey list</t>
        </is>
      </c>
      <c r="J14" s="192" t="inlineStr">
        <is>
          <t>Medium</t>
        </is>
      </c>
      <c r="K14" s="241" t="inlineStr">
        <is>
          <t>Yes</t>
        </is>
      </c>
      <c r="L14" s="243" t="inlineStr">
        <is>
          <t>File SAR</t>
        </is>
      </c>
      <c r="M14" s="241" t="inlineStr">
        <is>
          <t>A. Kumar</t>
        </is>
      </c>
      <c r="N14" s="241" t="inlineStr">
        <is>
          <t>15/11/2024</t>
        </is>
      </c>
    </row>
    <row r="15" ht="16.5" customHeight="1" s="126">
      <c r="A15" s="189" t="inlineStr">
        <is>
          <t>TXN40012</t>
        </is>
      </c>
      <c r="B15" s="189" t="inlineStr">
        <is>
          <t>CUST10012</t>
        </is>
      </c>
      <c r="C15" s="189" t="inlineStr">
        <is>
          <t>12/12/2024</t>
        </is>
      </c>
      <c r="D15" s="189" t="inlineStr">
        <is>
          <t>Cash Deposit</t>
        </is>
      </c>
      <c r="E15" s="189" t="n">
        <v>8500</v>
      </c>
      <c r="F15" s="189" t="inlineStr">
        <is>
          <t>AED</t>
        </is>
      </c>
      <c r="G15" s="190" t="inlineStr">
        <is>
          <t>Mei Lin</t>
        </is>
      </c>
      <c r="H15" s="189" t="inlineStr">
        <is>
          <t>India</t>
        </is>
      </c>
      <c r="I15" s="213" t="inlineStr">
        <is>
          <t>Off-hours bulk transfer</t>
        </is>
      </c>
      <c r="J15" s="187" t="inlineStr">
        <is>
          <t>Low</t>
        </is>
      </c>
      <c r="K15" s="189" t="inlineStr">
        <is>
          <t>Yes</t>
        </is>
      </c>
      <c r="L15" s="213" t="inlineStr">
        <is>
          <t>Freeze Transaction</t>
        </is>
      </c>
      <c r="M15" s="189" t="inlineStr">
        <is>
          <t>S. Patel</t>
        </is>
      </c>
      <c r="N15" s="189" t="inlineStr">
        <is>
          <t>15/12/2024</t>
        </is>
      </c>
    </row>
    <row r="16" ht="16.5" customHeight="1" s="126">
      <c r="A16" s="241" t="inlineStr">
        <is>
          <t>TXN40013</t>
        </is>
      </c>
      <c r="B16" s="241" t="inlineStr">
        <is>
          <t>CUST10013</t>
        </is>
      </c>
      <c r="C16" s="241" t="inlineStr">
        <is>
          <t>13/01/2024</t>
        </is>
      </c>
      <c r="D16" s="241" t="inlineStr">
        <is>
          <t>Cash Withdrawal</t>
        </is>
      </c>
      <c r="E16" s="241" t="n">
        <v>9800</v>
      </c>
      <c r="F16" s="241" t="inlineStr">
        <is>
          <t>USD</t>
        </is>
      </c>
      <c r="G16" s="242" t="inlineStr">
        <is>
          <t>Roberto Ferrari</t>
        </is>
      </c>
      <c r="H16" s="241" t="inlineStr">
        <is>
          <t>UK</t>
        </is>
      </c>
      <c r="I16" s="243" t="inlineStr">
        <is>
          <t>Inconsistent with profile</t>
        </is>
      </c>
      <c r="J16" s="194" t="inlineStr">
        <is>
          <t>High</t>
        </is>
      </c>
      <c r="K16" s="241" t="inlineStr">
        <is>
          <t>Yes</t>
        </is>
      </c>
      <c r="L16" s="243" t="inlineStr">
        <is>
          <t>Freeze Transaction</t>
        </is>
      </c>
      <c r="M16" s="241" t="inlineStr">
        <is>
          <t>M. Ali</t>
        </is>
      </c>
      <c r="N16" s="241" t="inlineStr">
        <is>
          <t>21/01/2024</t>
        </is>
      </c>
    </row>
    <row r="17" ht="16.5" customHeight="1" s="126">
      <c r="A17" s="189" t="inlineStr">
        <is>
          <t>TXN40014</t>
        </is>
      </c>
      <c r="B17" s="189" t="inlineStr">
        <is>
          <t>CUST10014</t>
        </is>
      </c>
      <c r="C17" s="189" t="inlineStr">
        <is>
          <t>14/02/2024</t>
        </is>
      </c>
      <c r="D17" s="189" t="inlineStr">
        <is>
          <t>SWIFT Transfer</t>
        </is>
      </c>
      <c r="E17" s="189" t="n">
        <v>38000</v>
      </c>
      <c r="F17" s="189" t="inlineStr">
        <is>
          <t>EUR</t>
        </is>
      </c>
      <c r="G17" s="190" t="inlineStr">
        <is>
          <t>Zara Khan</t>
        </is>
      </c>
      <c r="H17" s="189" t="inlineStr">
        <is>
          <t>Germany</t>
        </is>
      </c>
      <c r="I17" s="213" t="inlineStr">
        <is>
          <t>New beneficiary &gt; $50K</t>
        </is>
      </c>
      <c r="J17" s="192" t="inlineStr">
        <is>
          <t>Medium</t>
        </is>
      </c>
      <c r="K17" s="189" t="inlineStr">
        <is>
          <t>Yes</t>
        </is>
      </c>
      <c r="L17" s="213" t="inlineStr">
        <is>
          <t>Block &amp; Report</t>
        </is>
      </c>
      <c r="M17" s="189" t="inlineStr">
        <is>
          <t>R. Chen</t>
        </is>
      </c>
      <c r="N17" s="189" t="inlineStr">
        <is>
          <t>21/02/2024</t>
        </is>
      </c>
    </row>
    <row r="18" ht="16.5" customHeight="1" s="126">
      <c r="A18" s="241" t="inlineStr">
        <is>
          <t>TXN40015</t>
        </is>
      </c>
      <c r="B18" s="241" t="inlineStr">
        <is>
          <t>CUST10015</t>
        </is>
      </c>
      <c r="C18" s="241" t="inlineStr">
        <is>
          <t>15/03/2024</t>
        </is>
      </c>
      <c r="D18" s="241" t="inlineStr">
        <is>
          <t>Internal Transfer</t>
        </is>
      </c>
      <c r="E18" s="241" t="n">
        <v>110000</v>
      </c>
      <c r="F18" s="241" t="inlineStr">
        <is>
          <t>GBP</t>
        </is>
      </c>
      <c r="G18" s="242" t="inlineStr">
        <is>
          <t>David Nakamura</t>
        </is>
      </c>
      <c r="H18" s="241" t="inlineStr">
        <is>
          <t>Brazil</t>
        </is>
      </c>
      <c r="I18" s="243" t="inlineStr">
        <is>
          <t>Crypto off-ramp detected</t>
        </is>
      </c>
      <c r="J18" s="187" t="inlineStr">
        <is>
          <t>Low</t>
        </is>
      </c>
      <c r="K18" s="241" t="inlineStr">
        <is>
          <t>Yes</t>
        </is>
      </c>
      <c r="L18" s="243" t="inlineStr">
        <is>
          <t>Contact Customer</t>
        </is>
      </c>
      <c r="M18" s="241" t="inlineStr">
        <is>
          <t>J. Smith</t>
        </is>
      </c>
      <c r="N18" s="241" t="inlineStr">
        <is>
          <t>23/03/2024</t>
        </is>
      </c>
    </row>
    <row r="19" ht="16.5" customHeight="1" s="126">
      <c r="A19" s="189" t="inlineStr">
        <is>
          <t>TXN40016</t>
        </is>
      </c>
      <c r="B19" s="189" t="inlineStr">
        <is>
          <t>CUST10016</t>
        </is>
      </c>
      <c r="C19" s="189" t="inlineStr">
        <is>
          <t>16/04/2024</t>
        </is>
      </c>
      <c r="D19" s="189" t="inlineStr">
        <is>
          <t>Crypto Exchange</t>
        </is>
      </c>
      <c r="E19" s="189" t="n">
        <v>67000</v>
      </c>
      <c r="F19" s="189" t="inlineStr">
        <is>
          <t>AED</t>
        </is>
      </c>
      <c r="G19" s="190" t="inlineStr">
        <is>
          <t>Hassan Al-Amin</t>
        </is>
      </c>
      <c r="H19" s="189" t="inlineStr">
        <is>
          <t>UAE</t>
        </is>
      </c>
      <c r="I19" s="213" t="inlineStr">
        <is>
          <t>Amount &gt; $10,000 Cash</t>
        </is>
      </c>
      <c r="J19" s="194" t="inlineStr">
        <is>
          <t>High</t>
        </is>
      </c>
      <c r="K19" s="189" t="inlineStr">
        <is>
          <t>Yes</t>
        </is>
      </c>
      <c r="L19" s="213" t="inlineStr">
        <is>
          <t>Request Documentation</t>
        </is>
      </c>
      <c r="M19" s="189" t="inlineStr">
        <is>
          <t>L. Wang</t>
        </is>
      </c>
      <c r="N19" s="189" t="inlineStr">
        <is>
          <t>17/04/2024</t>
        </is>
      </c>
    </row>
    <row r="20" ht="16.5" customHeight="1" s="126">
      <c r="A20" s="241" t="inlineStr">
        <is>
          <t>TXN40017</t>
        </is>
      </c>
      <c r="B20" s="241" t="inlineStr">
        <is>
          <t>CUST10017</t>
        </is>
      </c>
      <c r="C20" s="241" t="inlineStr">
        <is>
          <t>17/05/2024</t>
        </is>
      </c>
      <c r="D20" s="241" t="inlineStr">
        <is>
          <t>Real Estate Payment</t>
        </is>
      </c>
      <c r="E20" s="241" t="n">
        <v>48000</v>
      </c>
      <c r="F20" s="241" t="inlineStr">
        <is>
          <t>USD</t>
        </is>
      </c>
      <c r="G20" s="242" t="inlineStr">
        <is>
          <t>Sara Lindqvist</t>
        </is>
      </c>
      <c r="H20" s="241" t="inlineStr">
        <is>
          <t>Panama</t>
        </is>
      </c>
      <c r="I20" s="243" t="inlineStr">
        <is>
          <t>Rapid in-out same day</t>
        </is>
      </c>
      <c r="J20" s="192" t="inlineStr">
        <is>
          <t>Medium</t>
        </is>
      </c>
      <c r="K20" s="241" t="inlineStr">
        <is>
          <t>No</t>
        </is>
      </c>
      <c r="L20" s="243" t="inlineStr">
        <is>
          <t>Freeze Transaction</t>
        </is>
      </c>
      <c r="M20" s="241" t="inlineStr">
        <is>
          <t>P. Nair</t>
        </is>
      </c>
      <c r="N20" s="241" t="n"/>
    </row>
    <row r="21" ht="16.5" customHeight="1" s="126">
      <c r="A21" s="189" t="inlineStr">
        <is>
          <t>TXN40018</t>
        </is>
      </c>
      <c r="B21" s="189" t="inlineStr">
        <is>
          <t>CUST10018</t>
        </is>
      </c>
      <c r="C21" s="189" t="inlineStr">
        <is>
          <t>18/06/2024</t>
        </is>
      </c>
      <c r="D21" s="189" t="inlineStr">
        <is>
          <t>Trade Finance</t>
        </is>
      </c>
      <c r="E21" s="189" t="n">
        <v>100000</v>
      </c>
      <c r="F21" s="189" t="inlineStr">
        <is>
          <t>EUR</t>
        </is>
      </c>
      <c r="G21" s="190" t="inlineStr">
        <is>
          <t>Kwame Asante</t>
        </is>
      </c>
      <c r="H21" s="189" t="inlineStr">
        <is>
          <t>British Virgin Islands</t>
        </is>
      </c>
      <c r="I21" s="213" t="inlineStr">
        <is>
          <t>High-risk jurisdiction transfer</t>
        </is>
      </c>
      <c r="J21" s="187" t="inlineStr">
        <is>
          <t>Low</t>
        </is>
      </c>
      <c r="K21" s="189" t="inlineStr">
        <is>
          <t>Pending</t>
        </is>
      </c>
      <c r="L21" s="213" t="inlineStr">
        <is>
          <t>Block &amp; Report</t>
        </is>
      </c>
      <c r="M21" s="189" t="inlineStr">
        <is>
          <t>F. Ahmed</t>
        </is>
      </c>
      <c r="N21" s="189" t="n"/>
    </row>
    <row r="22" ht="16.5" customHeight="1" s="126">
      <c r="A22" s="241" t="inlineStr">
        <is>
          <t>TXN40019</t>
        </is>
      </c>
      <c r="B22" s="241" t="inlineStr">
        <is>
          <t>CUST10019</t>
        </is>
      </c>
      <c r="C22" s="241" t="inlineStr">
        <is>
          <t>19/07/2024</t>
        </is>
      </c>
      <c r="D22" s="241" t="inlineStr">
        <is>
          <t>Card Transaction</t>
        </is>
      </c>
      <c r="E22" s="241" t="n">
        <v>11000</v>
      </c>
      <c r="F22" s="241" t="inlineStr">
        <is>
          <t>GBP</t>
        </is>
      </c>
      <c r="G22" s="242" t="inlineStr">
        <is>
          <t>Lena Svensson</t>
        </is>
      </c>
      <c r="H22" s="241" t="inlineStr">
        <is>
          <t>Cayman Islands</t>
        </is>
      </c>
      <c r="I22" s="243" t="inlineStr">
        <is>
          <t>Multiple transactions structuring</t>
        </is>
      </c>
      <c r="J22" s="194" t="inlineStr">
        <is>
          <t>High</t>
        </is>
      </c>
      <c r="K22" s="241" t="inlineStr">
        <is>
          <t>Pending</t>
        </is>
      </c>
      <c r="L22" s="243" t="inlineStr">
        <is>
          <t>Freeze Transaction</t>
        </is>
      </c>
      <c r="M22" s="241" t="inlineStr">
        <is>
          <t>T. Obi</t>
        </is>
      </c>
      <c r="N22" s="241" t="n"/>
    </row>
    <row r="23" ht="16.5" customHeight="1" s="126">
      <c r="A23" s="189" t="inlineStr">
        <is>
          <t>TXN40020</t>
        </is>
      </c>
      <c r="B23" s="189" t="inlineStr">
        <is>
          <t>CUST10020</t>
        </is>
      </c>
      <c r="C23" s="189" t="inlineStr">
        <is>
          <t>20/08/2024</t>
        </is>
      </c>
      <c r="D23" s="189" t="inlineStr">
        <is>
          <t>Loan Drawdown</t>
        </is>
      </c>
      <c r="E23" s="189" t="n">
        <v>48000</v>
      </c>
      <c r="F23" s="189" t="inlineStr">
        <is>
          <t>AED</t>
        </is>
      </c>
      <c r="G23" s="190" t="inlineStr">
        <is>
          <t>Felix Müller</t>
        </is>
      </c>
      <c r="H23" s="189" t="inlineStr">
        <is>
          <t>Switzerland</t>
        </is>
      </c>
      <c r="I23" s="213" t="inlineStr">
        <is>
          <t>Dormant account sudden activity</t>
        </is>
      </c>
      <c r="J23" s="192" t="inlineStr">
        <is>
          <t>Medium</t>
        </is>
      </c>
      <c r="K23" s="189" t="inlineStr">
        <is>
          <t>No</t>
        </is>
      </c>
      <c r="L23" s="213" t="inlineStr">
        <is>
          <t>Request Documentation</t>
        </is>
      </c>
      <c r="M23" s="189" t="inlineStr">
        <is>
          <t>Head AML</t>
        </is>
      </c>
      <c r="N23" s="189" t="n"/>
    </row>
    <row r="24" ht="16.5" customHeight="1" s="126">
      <c r="A24" s="241" t="inlineStr">
        <is>
          <t>TXN40021</t>
        </is>
      </c>
      <c r="B24" s="241" t="inlineStr">
        <is>
          <t>CUST10021</t>
        </is>
      </c>
      <c r="C24" s="241" t="inlineStr">
        <is>
          <t>21/09/2024</t>
        </is>
      </c>
      <c r="D24" s="241" t="inlineStr">
        <is>
          <t>Wire Transfer</t>
        </is>
      </c>
      <c r="E24" s="241" t="n">
        <v>42000</v>
      </c>
      <c r="F24" s="241" t="inlineStr">
        <is>
          <t>USD</t>
        </is>
      </c>
      <c r="G24" s="242" t="inlineStr">
        <is>
          <t>Amara Diallo</t>
        </is>
      </c>
      <c r="H24" s="241" t="inlineStr">
        <is>
          <t>Russia</t>
        </is>
      </c>
      <c r="I24" s="243" t="inlineStr">
        <is>
          <t>Round-dollar amounts</t>
        </is>
      </c>
      <c r="J24" s="187" t="inlineStr">
        <is>
          <t>Low</t>
        </is>
      </c>
      <c r="K24" s="241" t="inlineStr">
        <is>
          <t>Pending</t>
        </is>
      </c>
      <c r="L24" s="243" t="inlineStr">
        <is>
          <t>Refer to MLRO</t>
        </is>
      </c>
      <c r="M24" s="241" t="inlineStr">
        <is>
          <t>A. Kumar</t>
        </is>
      </c>
      <c r="N24" s="241" t="n"/>
    </row>
    <row r="25" ht="16.5" customHeight="1" s="126">
      <c r="A25" s="189" t="inlineStr">
        <is>
          <t>TXN40022</t>
        </is>
      </c>
      <c r="B25" s="189" t="inlineStr">
        <is>
          <t>CUST10022</t>
        </is>
      </c>
      <c r="C25" s="189" t="inlineStr">
        <is>
          <t>22/10/2024</t>
        </is>
      </c>
      <c r="D25" s="189" t="inlineStr">
        <is>
          <t>Cash Deposit</t>
        </is>
      </c>
      <c r="E25" s="189" t="n">
        <v>38000</v>
      </c>
      <c r="F25" s="189" t="inlineStr">
        <is>
          <t>EUR</t>
        </is>
      </c>
      <c r="G25" s="190" t="inlineStr">
        <is>
          <t>Ricardo Santos</t>
        </is>
      </c>
      <c r="H25" s="189" t="inlineStr">
        <is>
          <t>Nigeria</t>
        </is>
      </c>
      <c r="I25" s="213" t="inlineStr">
        <is>
          <t>Velocity threshold breach</t>
        </is>
      </c>
      <c r="J25" s="194" t="inlineStr">
        <is>
          <t>High</t>
        </is>
      </c>
      <c r="K25" s="189" t="inlineStr">
        <is>
          <t>Yes</t>
        </is>
      </c>
      <c r="L25" s="213" t="inlineStr">
        <is>
          <t>Block &amp; Report</t>
        </is>
      </c>
      <c r="M25" s="189" t="inlineStr">
        <is>
          <t>S. Patel</t>
        </is>
      </c>
      <c r="N25" s="189" t="inlineStr">
        <is>
          <t>01/11/2024</t>
        </is>
      </c>
    </row>
    <row r="26" ht="16.5" customHeight="1" s="126">
      <c r="A26" s="241" t="inlineStr">
        <is>
          <t>TXN40023</t>
        </is>
      </c>
      <c r="B26" s="241" t="inlineStr">
        <is>
          <t>CUST10023</t>
        </is>
      </c>
      <c r="C26" s="241" t="inlineStr">
        <is>
          <t>23/11/2024</t>
        </is>
      </c>
      <c r="D26" s="241" t="inlineStr">
        <is>
          <t>Cash Withdrawal</t>
        </is>
      </c>
      <c r="E26" s="241" t="n">
        <v>6500</v>
      </c>
      <c r="F26" s="241" t="inlineStr">
        <is>
          <t>GBP</t>
        </is>
      </c>
      <c r="G26" s="242" t="inlineStr">
        <is>
          <t>Priya Kapoor</t>
        </is>
      </c>
      <c r="H26" s="241" t="inlineStr">
        <is>
          <t>Iran</t>
        </is>
      </c>
      <c r="I26" s="243" t="inlineStr">
        <is>
          <t>PEP counterparty</t>
        </is>
      </c>
      <c r="J26" s="192" t="inlineStr">
        <is>
          <t>Medium</t>
        </is>
      </c>
      <c r="K26" s="241" t="inlineStr">
        <is>
          <t>No</t>
        </is>
      </c>
      <c r="L26" s="243" t="inlineStr">
        <is>
          <t>Refer to MLRO</t>
        </is>
      </c>
      <c r="M26" s="241" t="inlineStr">
        <is>
          <t>M. Ali</t>
        </is>
      </c>
      <c r="N26" s="241" t="n"/>
    </row>
    <row r="27" ht="16.5" customHeight="1" s="126">
      <c r="A27" s="189" t="inlineStr">
        <is>
          <t>TXN40024</t>
        </is>
      </c>
      <c r="B27" s="189" t="inlineStr">
        <is>
          <t>CUST10024</t>
        </is>
      </c>
      <c r="C27" s="189" t="inlineStr">
        <is>
          <t>24/12/2024</t>
        </is>
      </c>
      <c r="D27" s="189" t="inlineStr">
        <is>
          <t>SWIFT Transfer</t>
        </is>
      </c>
      <c r="E27" s="189" t="n">
        <v>42000</v>
      </c>
      <c r="F27" s="189" t="inlineStr">
        <is>
          <t>AED</t>
        </is>
      </c>
      <c r="G27" s="190" t="inlineStr">
        <is>
          <t>Dmitri Volkov</t>
        </is>
      </c>
      <c r="H27" s="189" t="inlineStr">
        <is>
          <t>North Korea</t>
        </is>
      </c>
      <c r="I27" s="213" t="inlineStr">
        <is>
          <t>Sanctions list match</t>
        </is>
      </c>
      <c r="J27" s="187" t="inlineStr">
        <is>
          <t>Low</t>
        </is>
      </c>
      <c r="K27" s="189" t="inlineStr">
        <is>
          <t>Yes</t>
        </is>
      </c>
      <c r="L27" s="213" t="inlineStr">
        <is>
          <t>Block &amp; Report</t>
        </is>
      </c>
      <c r="M27" s="189" t="inlineStr">
        <is>
          <t>R. Chen</t>
        </is>
      </c>
      <c r="N27" s="189" t="inlineStr">
        <is>
          <t>01/01/2025</t>
        </is>
      </c>
    </row>
    <row r="28" ht="16.5" customHeight="1" s="126">
      <c r="A28" s="241" t="inlineStr">
        <is>
          <t>TXN40025</t>
        </is>
      </c>
      <c r="B28" s="241" t="inlineStr">
        <is>
          <t>CUST10025</t>
        </is>
      </c>
      <c r="C28" s="241" t="inlineStr">
        <is>
          <t>25/01/2024</t>
        </is>
      </c>
      <c r="D28" s="241" t="inlineStr">
        <is>
          <t>Internal Transfer</t>
        </is>
      </c>
      <c r="E28" s="241" t="n">
        <v>55000</v>
      </c>
      <c r="F28" s="241" t="inlineStr">
        <is>
          <t>USD</t>
        </is>
      </c>
      <c r="G28" s="242" t="inlineStr">
        <is>
          <t>Aiko Tanaka</t>
        </is>
      </c>
      <c r="H28" s="241" t="inlineStr">
        <is>
          <t>Myanmar</t>
        </is>
      </c>
      <c r="I28" s="243" t="inlineStr">
        <is>
          <t>Unusual frequency pattern</t>
        </is>
      </c>
      <c r="J28" s="194" t="inlineStr">
        <is>
          <t>High</t>
        </is>
      </c>
      <c r="K28" s="241" t="inlineStr">
        <is>
          <t>Yes</t>
        </is>
      </c>
      <c r="L28" s="243" t="inlineStr">
        <is>
          <t>Monitor &amp; Watch</t>
        </is>
      </c>
      <c r="M28" s="241" t="inlineStr">
        <is>
          <t>J. Smith</t>
        </is>
      </c>
      <c r="N28" s="241" t="inlineStr">
        <is>
          <t>03/02/2024</t>
        </is>
      </c>
    </row>
    <row r="29" ht="16.5" customHeight="1" s="126">
      <c r="A29" s="189" t="inlineStr">
        <is>
          <t>TXN40026</t>
        </is>
      </c>
      <c r="B29" s="189" t="inlineStr">
        <is>
          <t>CUST10026</t>
        </is>
      </c>
      <c r="C29" s="189" t="inlineStr">
        <is>
          <t>26/02/2024</t>
        </is>
      </c>
      <c r="D29" s="189" t="inlineStr">
        <is>
          <t>Crypto Exchange</t>
        </is>
      </c>
      <c r="E29" s="189" t="n">
        <v>175000</v>
      </c>
      <c r="F29" s="189" t="inlineStr">
        <is>
          <t>EUR</t>
        </is>
      </c>
      <c r="G29" s="190" t="inlineStr">
        <is>
          <t>Ibrahim Al-Farsi</t>
        </is>
      </c>
      <c r="H29" s="189" t="inlineStr">
        <is>
          <t>China</t>
        </is>
      </c>
      <c r="I29" s="213" t="inlineStr">
        <is>
          <t>Cross-border to FATF grey list</t>
        </is>
      </c>
      <c r="J29" s="192" t="inlineStr">
        <is>
          <t>Medium</t>
        </is>
      </c>
      <c r="K29" s="189" t="inlineStr">
        <is>
          <t>Yes</t>
        </is>
      </c>
      <c r="L29" s="213" t="inlineStr">
        <is>
          <t>Monitor &amp; Watch</t>
        </is>
      </c>
      <c r="M29" s="189" t="inlineStr">
        <is>
          <t>L. Wang</t>
        </is>
      </c>
      <c r="N29" s="189" t="inlineStr">
        <is>
          <t>05/03/2024</t>
        </is>
      </c>
    </row>
    <row r="30" ht="16.5" customHeight="1" s="126">
      <c r="A30" s="241" t="inlineStr">
        <is>
          <t>TXN40027</t>
        </is>
      </c>
      <c r="B30" s="241" t="inlineStr">
        <is>
          <t>CUST10027</t>
        </is>
      </c>
      <c r="C30" s="241" t="inlineStr">
        <is>
          <t>27/03/2024</t>
        </is>
      </c>
      <c r="D30" s="241" t="inlineStr">
        <is>
          <t>Real Estate Payment</t>
        </is>
      </c>
      <c r="E30" s="241" t="n">
        <v>25000</v>
      </c>
      <c r="F30" s="241" t="inlineStr">
        <is>
          <t>GBP</t>
        </is>
      </c>
      <c r="G30" s="242" t="inlineStr">
        <is>
          <t>Grace Osei</t>
        </is>
      </c>
      <c r="H30" s="241" t="inlineStr">
        <is>
          <t>India</t>
        </is>
      </c>
      <c r="I30" s="243" t="inlineStr">
        <is>
          <t>Off-hours bulk transfer</t>
        </is>
      </c>
      <c r="J30" s="187" t="inlineStr">
        <is>
          <t>Low</t>
        </is>
      </c>
      <c r="K30" s="241" t="inlineStr">
        <is>
          <t>Yes</t>
        </is>
      </c>
      <c r="L30" s="243" t="inlineStr">
        <is>
          <t>Freeze Transaction</t>
        </is>
      </c>
      <c r="M30" s="241" t="inlineStr">
        <is>
          <t>P. Nair</t>
        </is>
      </c>
      <c r="N30" s="241" t="inlineStr">
        <is>
          <t>01/04/2024</t>
        </is>
      </c>
    </row>
    <row r="31" ht="16.5" customHeight="1" s="126">
      <c r="A31" s="189" t="inlineStr">
        <is>
          <t>TXN40028</t>
        </is>
      </c>
      <c r="B31" s="189" t="inlineStr">
        <is>
          <t>CUST10028</t>
        </is>
      </c>
      <c r="C31" s="189" t="inlineStr">
        <is>
          <t>28/04/2024</t>
        </is>
      </c>
      <c r="D31" s="189" t="inlineStr">
        <is>
          <t>Trade Finance</t>
        </is>
      </c>
      <c r="E31" s="189" t="n">
        <v>200000</v>
      </c>
      <c r="F31" s="189" t="inlineStr">
        <is>
          <t>AED</t>
        </is>
      </c>
      <c r="G31" s="190" t="inlineStr">
        <is>
          <t>Viktor Kozlov</t>
        </is>
      </c>
      <c r="H31" s="189" t="inlineStr">
        <is>
          <t>UK</t>
        </is>
      </c>
      <c r="I31" s="213" t="inlineStr">
        <is>
          <t>Inconsistent with profile</t>
        </is>
      </c>
      <c r="J31" s="194" t="inlineStr">
        <is>
          <t>High</t>
        </is>
      </c>
      <c r="K31" s="189" t="inlineStr">
        <is>
          <t>Yes</t>
        </is>
      </c>
      <c r="L31" s="213" t="inlineStr">
        <is>
          <t>Refer to MLRO</t>
        </is>
      </c>
      <c r="M31" s="189" t="inlineStr">
        <is>
          <t>F. Ahmed</t>
        </is>
      </c>
      <c r="N31" s="189" t="inlineStr">
        <is>
          <t>30/04/2024</t>
        </is>
      </c>
    </row>
    <row r="32" ht="16.5" customHeight="1" s="126">
      <c r="A32" s="241" t="inlineStr">
        <is>
          <t>TXN40029</t>
        </is>
      </c>
      <c r="B32" s="241" t="inlineStr">
        <is>
          <t>CUST10029</t>
        </is>
      </c>
      <c r="C32" s="241" t="inlineStr">
        <is>
          <t>01/05/2024</t>
        </is>
      </c>
      <c r="D32" s="241" t="inlineStr">
        <is>
          <t>Card Transaction</t>
        </is>
      </c>
      <c r="E32" s="241" t="n">
        <v>75000</v>
      </c>
      <c r="F32" s="241" t="inlineStr">
        <is>
          <t>USD</t>
        </is>
      </c>
      <c r="G32" s="242" t="inlineStr">
        <is>
          <t>Chen Holdings Ltd</t>
        </is>
      </c>
      <c r="H32" s="241" t="inlineStr">
        <is>
          <t>Germany</t>
        </is>
      </c>
      <c r="I32" s="243" t="inlineStr">
        <is>
          <t>New beneficiary &gt; $50K</t>
        </is>
      </c>
      <c r="J32" s="192" t="inlineStr">
        <is>
          <t>Medium</t>
        </is>
      </c>
      <c r="K32" s="241" t="inlineStr">
        <is>
          <t>Yes</t>
        </is>
      </c>
      <c r="L32" s="243" t="inlineStr">
        <is>
          <t>Freeze Transaction</t>
        </is>
      </c>
      <c r="M32" s="241" t="inlineStr">
        <is>
          <t>T. Obi</t>
        </is>
      </c>
      <c r="N32" s="241" t="inlineStr">
        <is>
          <t>08/05/2024</t>
        </is>
      </c>
    </row>
    <row r="33" ht="16.5" customHeight="1" s="126">
      <c r="A33" s="189" t="inlineStr">
        <is>
          <t>TXN40030</t>
        </is>
      </c>
      <c r="B33" s="189" t="inlineStr">
        <is>
          <t>CUST10030</t>
        </is>
      </c>
      <c r="C33" s="189" t="inlineStr">
        <is>
          <t>02/06/2024</t>
        </is>
      </c>
      <c r="D33" s="189" t="inlineStr">
        <is>
          <t>Loan Drawdown</t>
        </is>
      </c>
      <c r="E33" s="189" t="n">
        <v>75000</v>
      </c>
      <c r="F33" s="189" t="inlineStr">
        <is>
          <t>EUR</t>
        </is>
      </c>
      <c r="G33" s="190" t="inlineStr">
        <is>
          <t>Layla Nasser</t>
        </is>
      </c>
      <c r="H33" s="189" t="inlineStr">
        <is>
          <t>Brazil</t>
        </is>
      </c>
      <c r="I33" s="213" t="inlineStr">
        <is>
          <t>Crypto off-ramp detected</t>
        </is>
      </c>
      <c r="J33" s="187" t="inlineStr">
        <is>
          <t>Low</t>
        </is>
      </c>
      <c r="K33" s="189" t="inlineStr">
        <is>
          <t>Yes</t>
        </is>
      </c>
      <c r="L33" s="213" t="inlineStr">
        <is>
          <t>File SAR</t>
        </is>
      </c>
      <c r="M33" s="189" t="inlineStr">
        <is>
          <t>Head AML</t>
        </is>
      </c>
      <c r="N33" s="189" t="inlineStr">
        <is>
          <t>09/06/2024</t>
        </is>
      </c>
    </row>
    <row r="34" ht="16.5" customHeight="1" s="126">
      <c r="A34" s="241" t="inlineStr">
        <is>
          <t>TXN40031</t>
        </is>
      </c>
      <c r="B34" s="241" t="inlineStr">
        <is>
          <t>CUST10031</t>
        </is>
      </c>
      <c r="C34" s="241" t="inlineStr">
        <is>
          <t>03/07/2024</t>
        </is>
      </c>
      <c r="D34" s="241" t="inlineStr">
        <is>
          <t>Wire Transfer</t>
        </is>
      </c>
      <c r="E34" s="241" t="n">
        <v>88000</v>
      </c>
      <c r="F34" s="241" t="inlineStr">
        <is>
          <t>GBP</t>
        </is>
      </c>
      <c r="G34" s="242" t="inlineStr">
        <is>
          <t>Isabella Costa</t>
        </is>
      </c>
      <c r="H34" s="241" t="inlineStr">
        <is>
          <t>UAE</t>
        </is>
      </c>
      <c r="I34" s="243" t="inlineStr">
        <is>
          <t>Amount &gt; $10,000 Cash</t>
        </is>
      </c>
      <c r="J34" s="194" t="inlineStr">
        <is>
          <t>High</t>
        </is>
      </c>
      <c r="K34" s="241" t="inlineStr">
        <is>
          <t>Yes</t>
        </is>
      </c>
      <c r="L34" s="243" t="inlineStr">
        <is>
          <t>Refer to MLRO</t>
        </is>
      </c>
      <c r="M34" s="241" t="inlineStr">
        <is>
          <t>A. Kumar</t>
        </is>
      </c>
      <c r="N34" s="241" t="inlineStr">
        <is>
          <t>11/07/2024</t>
        </is>
      </c>
    </row>
    <row r="35" ht="16.5" customHeight="1" s="126">
      <c r="A35" s="189" t="inlineStr">
        <is>
          <t>TXN40032</t>
        </is>
      </c>
      <c r="B35" s="189" t="inlineStr">
        <is>
          <t>CUST10032</t>
        </is>
      </c>
      <c r="C35" s="189" t="inlineStr">
        <is>
          <t>04/08/2024</t>
        </is>
      </c>
      <c r="D35" s="189" t="inlineStr">
        <is>
          <t>Cash Deposit</t>
        </is>
      </c>
      <c r="E35" s="189" t="n">
        <v>88000</v>
      </c>
      <c r="F35" s="189" t="inlineStr">
        <is>
          <t>AED</t>
        </is>
      </c>
      <c r="G35" s="190" t="inlineStr">
        <is>
          <t>Mohammed Al-Sayed</t>
        </is>
      </c>
      <c r="H35" s="189" t="inlineStr">
        <is>
          <t>Panama</t>
        </is>
      </c>
      <c r="I35" s="213" t="inlineStr">
        <is>
          <t>Rapid in-out same day</t>
        </is>
      </c>
      <c r="J35" s="192" t="inlineStr">
        <is>
          <t>Medium</t>
        </is>
      </c>
      <c r="K35" s="189" t="inlineStr">
        <is>
          <t>Yes</t>
        </is>
      </c>
      <c r="L35" s="213" t="inlineStr">
        <is>
          <t>Freeze Transaction</t>
        </is>
      </c>
      <c r="M35" s="189" t="inlineStr">
        <is>
          <t>S. Patel</t>
        </is>
      </c>
      <c r="N35" s="189" t="inlineStr">
        <is>
          <t>11/08/2024</t>
        </is>
      </c>
    </row>
    <row r="36" ht="16.5" customHeight="1" s="126">
      <c r="A36" s="241" t="inlineStr">
        <is>
          <t>TXN40033</t>
        </is>
      </c>
      <c r="B36" s="241" t="inlineStr">
        <is>
          <t>CUST10033</t>
        </is>
      </c>
      <c r="C36" s="241" t="inlineStr">
        <is>
          <t>05/09/2024</t>
        </is>
      </c>
      <c r="D36" s="241" t="inlineStr">
        <is>
          <t>Cash Withdrawal</t>
        </is>
      </c>
      <c r="E36" s="241" t="n">
        <v>67000</v>
      </c>
      <c r="F36" s="241" t="inlineStr">
        <is>
          <t>USD</t>
        </is>
      </c>
      <c r="G36" s="242" t="inlineStr">
        <is>
          <t>Elena Marchetti</t>
        </is>
      </c>
      <c r="H36" s="241" t="inlineStr">
        <is>
          <t>British Virgin Islands</t>
        </is>
      </c>
      <c r="I36" s="243" t="inlineStr">
        <is>
          <t>High-risk jurisdiction transfer</t>
        </is>
      </c>
      <c r="J36" s="187" t="inlineStr">
        <is>
          <t>Low</t>
        </is>
      </c>
      <c r="K36" s="241" t="inlineStr">
        <is>
          <t>Pending</t>
        </is>
      </c>
      <c r="L36" s="243" t="inlineStr">
        <is>
          <t>Escalate to AML Team</t>
        </is>
      </c>
      <c r="M36" s="241" t="inlineStr">
        <is>
          <t>M. Ali</t>
        </is>
      </c>
      <c r="N36" s="241" t="n"/>
    </row>
    <row r="37" ht="16.5" customHeight="1" s="126">
      <c r="A37" s="189" t="inlineStr">
        <is>
          <t>TXN40034</t>
        </is>
      </c>
      <c r="B37" s="189" t="inlineStr">
        <is>
          <t>CUST10034</t>
        </is>
      </c>
      <c r="C37" s="189" t="inlineStr">
        <is>
          <t>06/10/2024</t>
        </is>
      </c>
      <c r="D37" s="189" t="inlineStr">
        <is>
          <t>SWIFT Transfer</t>
        </is>
      </c>
      <c r="E37" s="189" t="n">
        <v>110000</v>
      </c>
      <c r="F37" s="189" t="inlineStr">
        <is>
          <t>EUR</t>
        </is>
      </c>
      <c r="G37" s="190" t="inlineStr">
        <is>
          <t>James Fernandez</t>
        </is>
      </c>
      <c r="H37" s="189" t="inlineStr">
        <is>
          <t>Cayman Islands</t>
        </is>
      </c>
      <c r="I37" s="213" t="inlineStr">
        <is>
          <t>Multiple transactions structuring</t>
        </is>
      </c>
      <c r="J37" s="194" t="inlineStr">
        <is>
          <t>High</t>
        </is>
      </c>
      <c r="K37" s="189" t="inlineStr">
        <is>
          <t>No</t>
        </is>
      </c>
      <c r="L37" s="213" t="inlineStr">
        <is>
          <t>Block &amp; Report</t>
        </is>
      </c>
      <c r="M37" s="189" t="inlineStr">
        <is>
          <t>R. Chen</t>
        </is>
      </c>
      <c r="N37" s="189" t="n"/>
    </row>
    <row r="38" ht="16.5" customHeight="1" s="126">
      <c r="A38" s="241" t="inlineStr">
        <is>
          <t>TXN40035</t>
        </is>
      </c>
      <c r="B38" s="241" t="inlineStr">
        <is>
          <t>CUST10035</t>
        </is>
      </c>
      <c r="C38" s="241" t="inlineStr">
        <is>
          <t>07/11/2024</t>
        </is>
      </c>
      <c r="D38" s="241" t="inlineStr">
        <is>
          <t>Internal Transfer</t>
        </is>
      </c>
      <c r="E38" s="241" t="n">
        <v>9800</v>
      </c>
      <c r="F38" s="241" t="inlineStr">
        <is>
          <t>GBP</t>
        </is>
      </c>
      <c r="G38" s="242" t="inlineStr">
        <is>
          <t>Yuki Tanaka</t>
        </is>
      </c>
      <c r="H38" s="241" t="inlineStr">
        <is>
          <t>Switzerland</t>
        </is>
      </c>
      <c r="I38" s="243" t="inlineStr">
        <is>
          <t>Dormant account sudden activity</t>
        </is>
      </c>
      <c r="J38" s="192" t="inlineStr">
        <is>
          <t>Medium</t>
        </is>
      </c>
      <c r="K38" s="241" t="inlineStr">
        <is>
          <t>Yes</t>
        </is>
      </c>
      <c r="L38" s="243" t="inlineStr">
        <is>
          <t>Monitor &amp; Watch</t>
        </is>
      </c>
      <c r="M38" s="241" t="inlineStr">
        <is>
          <t>J. Smith</t>
        </is>
      </c>
      <c r="N38" s="241" t="inlineStr">
        <is>
          <t>14/11/2024</t>
        </is>
      </c>
    </row>
    <row r="39" ht="16.5" customHeight="1" s="126">
      <c r="A39" s="189" t="inlineStr">
        <is>
          <t>TXN40036</t>
        </is>
      </c>
      <c r="B39" s="189" t="inlineStr">
        <is>
          <t>CUST10036</t>
        </is>
      </c>
      <c r="C39" s="189" t="inlineStr">
        <is>
          <t>08/12/2024</t>
        </is>
      </c>
      <c r="D39" s="189" t="inlineStr">
        <is>
          <t>Crypto Exchange</t>
        </is>
      </c>
      <c r="E39" s="189" t="n">
        <v>88000</v>
      </c>
      <c r="F39" s="189" t="inlineStr">
        <is>
          <t>AED</t>
        </is>
      </c>
      <c r="G39" s="190" t="inlineStr">
        <is>
          <t>Ravi Krishnamurthy</t>
        </is>
      </c>
      <c r="H39" s="189" t="inlineStr">
        <is>
          <t>Russia</t>
        </is>
      </c>
      <c r="I39" s="213" t="inlineStr">
        <is>
          <t>Round-dollar amounts</t>
        </is>
      </c>
      <c r="J39" s="187" t="inlineStr">
        <is>
          <t>Low</t>
        </is>
      </c>
      <c r="K39" s="189" t="inlineStr">
        <is>
          <t>Pending</t>
        </is>
      </c>
      <c r="L39" s="213" t="inlineStr">
        <is>
          <t>Refer to MLRO</t>
        </is>
      </c>
      <c r="M39" s="189" t="inlineStr">
        <is>
          <t>L. Wang</t>
        </is>
      </c>
      <c r="N39" s="189" t="n"/>
    </row>
    <row r="40" ht="16.5" customHeight="1" s="126">
      <c r="A40" s="241" t="inlineStr">
        <is>
          <t>TXN40037</t>
        </is>
      </c>
      <c r="B40" s="241" t="inlineStr">
        <is>
          <t>CUST10037</t>
        </is>
      </c>
      <c r="C40" s="241" t="inlineStr">
        <is>
          <t>09/01/2024</t>
        </is>
      </c>
      <c r="D40" s="241" t="inlineStr">
        <is>
          <t>Real Estate Payment</t>
        </is>
      </c>
      <c r="E40" s="241" t="n">
        <v>38000</v>
      </c>
      <c r="F40" s="241" t="inlineStr">
        <is>
          <t>USD</t>
        </is>
      </c>
      <c r="G40" s="242" t="inlineStr">
        <is>
          <t>Astrid Bergström</t>
        </is>
      </c>
      <c r="H40" s="241" t="inlineStr">
        <is>
          <t>Nigeria</t>
        </is>
      </c>
      <c r="I40" s="243" t="inlineStr">
        <is>
          <t>Velocity threshold breach</t>
        </is>
      </c>
      <c r="J40" s="194" t="inlineStr">
        <is>
          <t>High</t>
        </is>
      </c>
      <c r="K40" s="241" t="inlineStr">
        <is>
          <t>Yes</t>
        </is>
      </c>
      <c r="L40" s="243" t="inlineStr">
        <is>
          <t>Block &amp; Report</t>
        </is>
      </c>
      <c r="M40" s="241" t="inlineStr">
        <is>
          <t>P. Nair</t>
        </is>
      </c>
      <c r="N40" s="241" t="inlineStr">
        <is>
          <t>13/01/2024</t>
        </is>
      </c>
    </row>
    <row r="41" ht="16.5" customHeight="1" s="126">
      <c r="A41" s="189" t="inlineStr">
        <is>
          <t>TXN40038</t>
        </is>
      </c>
      <c r="B41" s="189" t="inlineStr">
        <is>
          <t>CUST10038</t>
        </is>
      </c>
      <c r="C41" s="189" t="inlineStr">
        <is>
          <t>10/02/2024</t>
        </is>
      </c>
      <c r="D41" s="189" t="inlineStr">
        <is>
          <t>Trade Finance</t>
        </is>
      </c>
      <c r="E41" s="189" t="n">
        <v>55000</v>
      </c>
      <c r="F41" s="189" t="inlineStr">
        <is>
          <t>EUR</t>
        </is>
      </c>
      <c r="G41" s="190" t="inlineStr">
        <is>
          <t>Tariq Al-Hussain</t>
        </is>
      </c>
      <c r="H41" s="189" t="inlineStr">
        <is>
          <t>Iran</t>
        </is>
      </c>
      <c r="I41" s="213" t="inlineStr">
        <is>
          <t>PEP counterparty</t>
        </is>
      </c>
      <c r="J41" s="192" t="inlineStr">
        <is>
          <t>Medium</t>
        </is>
      </c>
      <c r="K41" s="189" t="inlineStr">
        <is>
          <t>No</t>
        </is>
      </c>
      <c r="L41" s="213" t="inlineStr">
        <is>
          <t>Block &amp; Report</t>
        </is>
      </c>
      <c r="M41" s="189" t="inlineStr">
        <is>
          <t>F. Ahmed</t>
        </is>
      </c>
      <c r="N41" s="189" t="n"/>
    </row>
    <row r="42" ht="16.5" customHeight="1" s="126">
      <c r="A42" s="241" t="inlineStr">
        <is>
          <t>TXN40039</t>
        </is>
      </c>
      <c r="B42" s="241" t="inlineStr">
        <is>
          <t>CUST10039</t>
        </is>
      </c>
      <c r="C42" s="241" t="inlineStr">
        <is>
          <t>11/03/2024</t>
        </is>
      </c>
      <c r="D42" s="241" t="inlineStr">
        <is>
          <t>Card Transaction</t>
        </is>
      </c>
      <c r="E42" s="241" t="n">
        <v>9800</v>
      </c>
      <c r="F42" s="241" t="inlineStr">
        <is>
          <t>GBP</t>
        </is>
      </c>
      <c r="G42" s="242" t="inlineStr">
        <is>
          <t>Mei-Ling Zhang</t>
        </is>
      </c>
      <c r="H42" s="241" t="inlineStr">
        <is>
          <t>North Korea</t>
        </is>
      </c>
      <c r="I42" s="243" t="inlineStr">
        <is>
          <t>Sanctions list match</t>
        </is>
      </c>
      <c r="J42" s="187" t="inlineStr">
        <is>
          <t>Low</t>
        </is>
      </c>
      <c r="K42" s="241" t="inlineStr">
        <is>
          <t>No</t>
        </is>
      </c>
      <c r="L42" s="243" t="inlineStr">
        <is>
          <t>No Action — Cleared</t>
        </is>
      </c>
      <c r="M42" s="241" t="inlineStr">
        <is>
          <t>T. Obi</t>
        </is>
      </c>
      <c r="N42" s="241" t="n"/>
    </row>
    <row r="43" ht="16.5" customHeight="1" s="126">
      <c r="A43" s="189" t="inlineStr">
        <is>
          <t>TXN40040</t>
        </is>
      </c>
      <c r="B43" s="189" t="inlineStr">
        <is>
          <t>CUST10040</t>
        </is>
      </c>
      <c r="C43" s="189" t="inlineStr">
        <is>
          <t>12/04/2024</t>
        </is>
      </c>
      <c r="D43" s="189" t="inlineStr">
        <is>
          <t>Loan Drawdown</t>
        </is>
      </c>
      <c r="E43" s="189" t="n">
        <v>67000</v>
      </c>
      <c r="F43" s="189" t="inlineStr">
        <is>
          <t>AED</t>
        </is>
      </c>
      <c r="G43" s="190" t="inlineStr">
        <is>
          <t>Boris Petrov</t>
        </is>
      </c>
      <c r="H43" s="189" t="inlineStr">
        <is>
          <t>Myanmar</t>
        </is>
      </c>
      <c r="I43" s="213" t="inlineStr">
        <is>
          <t>Unusual frequency pattern</t>
        </is>
      </c>
      <c r="J43" s="194" t="inlineStr">
        <is>
          <t>High</t>
        </is>
      </c>
      <c r="K43" s="189" t="inlineStr">
        <is>
          <t>Yes</t>
        </is>
      </c>
      <c r="L43" s="213" t="inlineStr">
        <is>
          <t>Block &amp; Report</t>
        </is>
      </c>
      <c r="M43" s="189" t="inlineStr">
        <is>
          <t>Head AML</t>
        </is>
      </c>
      <c r="N43" s="189" t="inlineStr">
        <is>
          <t>15/04/2024</t>
        </is>
      </c>
    </row>
    <row r="44" ht="16.5" customHeight="1" s="126">
      <c r="A44" s="241" t="inlineStr">
        <is>
          <t>TXN40041</t>
        </is>
      </c>
      <c r="B44" s="241" t="inlineStr">
        <is>
          <t>CUST10041</t>
        </is>
      </c>
      <c r="C44" s="241" t="inlineStr">
        <is>
          <t>13/05/2024</t>
        </is>
      </c>
      <c r="D44" s="241" t="inlineStr">
        <is>
          <t>Wire Transfer</t>
        </is>
      </c>
      <c r="E44" s="241" t="n">
        <v>38000</v>
      </c>
      <c r="F44" s="241" t="inlineStr">
        <is>
          <t>USD</t>
        </is>
      </c>
      <c r="G44" s="242" t="inlineStr">
        <is>
          <t>Chioma Eze</t>
        </is>
      </c>
      <c r="H44" s="241" t="inlineStr">
        <is>
          <t>China</t>
        </is>
      </c>
      <c r="I44" s="243" t="inlineStr">
        <is>
          <t>Cross-border to FATF grey list</t>
        </is>
      </c>
      <c r="J44" s="192" t="inlineStr">
        <is>
          <t>Medium</t>
        </is>
      </c>
      <c r="K44" s="241" t="inlineStr">
        <is>
          <t>Pending</t>
        </is>
      </c>
      <c r="L44" s="243" t="inlineStr">
        <is>
          <t>Escalate to AML Team</t>
        </is>
      </c>
      <c r="M44" s="241" t="inlineStr">
        <is>
          <t>A. Kumar</t>
        </is>
      </c>
      <c r="N44" s="241" t="n"/>
    </row>
    <row r="45" ht="16.5" customHeight="1" s="126">
      <c r="A45" s="189" t="inlineStr">
        <is>
          <t>TXN40042</t>
        </is>
      </c>
      <c r="B45" s="189" t="inlineStr">
        <is>
          <t>CUST10042</t>
        </is>
      </c>
      <c r="C45" s="189" t="inlineStr">
        <is>
          <t>14/06/2024</t>
        </is>
      </c>
      <c r="D45" s="189" t="inlineStr">
        <is>
          <t>Cash Deposit</t>
        </is>
      </c>
      <c r="E45" s="189" t="n">
        <v>67000</v>
      </c>
      <c r="F45" s="189" t="inlineStr">
        <is>
          <t>EUR</t>
        </is>
      </c>
      <c r="G45" s="190" t="inlineStr">
        <is>
          <t>Juan Pablo Reyes</t>
        </is>
      </c>
      <c r="H45" s="189" t="inlineStr">
        <is>
          <t>India</t>
        </is>
      </c>
      <c r="I45" s="213" t="inlineStr">
        <is>
          <t>Off-hours bulk transfer</t>
        </is>
      </c>
      <c r="J45" s="187" t="inlineStr">
        <is>
          <t>Low</t>
        </is>
      </c>
      <c r="K45" s="189" t="inlineStr">
        <is>
          <t>Pending</t>
        </is>
      </c>
      <c r="L45" s="213" t="inlineStr">
        <is>
          <t>Ongoing Review</t>
        </is>
      </c>
      <c r="M45" s="189" t="inlineStr">
        <is>
          <t>S. Patel</t>
        </is>
      </c>
      <c r="N45" s="189" t="n"/>
    </row>
    <row r="46" ht="16.5" customHeight="1" s="126">
      <c r="A46" s="241" t="inlineStr">
        <is>
          <t>TXN40043</t>
        </is>
      </c>
      <c r="B46" s="241" t="inlineStr">
        <is>
          <t>CUST10043</t>
        </is>
      </c>
      <c r="C46" s="241" t="inlineStr">
        <is>
          <t>15/07/2024</t>
        </is>
      </c>
      <c r="D46" s="241" t="inlineStr">
        <is>
          <t>Cash Withdrawal</t>
        </is>
      </c>
      <c r="E46" s="241" t="n">
        <v>9800</v>
      </c>
      <c r="F46" s="241" t="inlineStr">
        <is>
          <t>GBP</t>
        </is>
      </c>
      <c r="G46" s="242" t="inlineStr">
        <is>
          <t>Natasha Romanova</t>
        </is>
      </c>
      <c r="H46" s="241" t="inlineStr">
        <is>
          <t>UK</t>
        </is>
      </c>
      <c r="I46" s="243" t="inlineStr">
        <is>
          <t>Inconsistent with profile</t>
        </is>
      </c>
      <c r="J46" s="194" t="inlineStr">
        <is>
          <t>High</t>
        </is>
      </c>
      <c r="K46" s="241" t="inlineStr">
        <is>
          <t>Yes</t>
        </is>
      </c>
      <c r="L46" s="243" t="inlineStr">
        <is>
          <t>Contact Customer</t>
        </is>
      </c>
      <c r="M46" s="241" t="inlineStr">
        <is>
          <t>M. Ali</t>
        </is>
      </c>
      <c r="N46" s="241" t="inlineStr">
        <is>
          <t>18/07/2024</t>
        </is>
      </c>
    </row>
    <row r="47" ht="16.5" customHeight="1" s="126">
      <c r="A47" s="189" t="inlineStr">
        <is>
          <t>TXN40044</t>
        </is>
      </c>
      <c r="B47" s="189" t="inlineStr">
        <is>
          <t>CUST10044</t>
        </is>
      </c>
      <c r="C47" s="189" t="inlineStr">
        <is>
          <t>16/08/2024</t>
        </is>
      </c>
      <c r="D47" s="189" t="inlineStr">
        <is>
          <t>SWIFT Transfer</t>
        </is>
      </c>
      <c r="E47" s="189" t="n">
        <v>42000</v>
      </c>
      <c r="F47" s="189" t="inlineStr">
        <is>
          <t>AED</t>
        </is>
      </c>
      <c r="G47" s="190" t="inlineStr">
        <is>
          <t>Suresh Iyer</t>
        </is>
      </c>
      <c r="H47" s="189" t="inlineStr">
        <is>
          <t>Germany</t>
        </is>
      </c>
      <c r="I47" s="213" t="inlineStr">
        <is>
          <t>New beneficiary &gt; $50K</t>
        </is>
      </c>
      <c r="J47" s="192" t="inlineStr">
        <is>
          <t>Medium</t>
        </is>
      </c>
      <c r="K47" s="189" t="inlineStr">
        <is>
          <t>Yes</t>
        </is>
      </c>
      <c r="L47" s="213" t="inlineStr">
        <is>
          <t>Escalate to AML Team</t>
        </is>
      </c>
      <c r="M47" s="189" t="inlineStr">
        <is>
          <t>R. Chen</t>
        </is>
      </c>
      <c r="N47" s="189" t="inlineStr">
        <is>
          <t>21/08/2024</t>
        </is>
      </c>
    </row>
    <row r="48" ht="16.5" customHeight="1" s="126">
      <c r="A48" s="241" t="inlineStr">
        <is>
          <t>TXN40045</t>
        </is>
      </c>
      <c r="B48" s="241" t="inlineStr">
        <is>
          <t>CUST10045</t>
        </is>
      </c>
      <c r="C48" s="241" t="inlineStr">
        <is>
          <t>17/09/2024</t>
        </is>
      </c>
      <c r="D48" s="241" t="inlineStr">
        <is>
          <t>Internal Transfer</t>
        </is>
      </c>
      <c r="E48" s="241" t="n">
        <v>67000</v>
      </c>
      <c r="F48" s="241" t="inlineStr">
        <is>
          <t>USD</t>
        </is>
      </c>
      <c r="G48" s="242" t="inlineStr">
        <is>
          <t>Olga Koroleva</t>
        </is>
      </c>
      <c r="H48" s="241" t="inlineStr">
        <is>
          <t>Brazil</t>
        </is>
      </c>
      <c r="I48" s="243" t="inlineStr">
        <is>
          <t>Crypto off-ramp detected</t>
        </is>
      </c>
      <c r="J48" s="187" t="inlineStr">
        <is>
          <t>Low</t>
        </is>
      </c>
      <c r="K48" s="241" t="inlineStr">
        <is>
          <t>Yes</t>
        </is>
      </c>
      <c r="L48" s="243" t="inlineStr">
        <is>
          <t>Freeze Transaction</t>
        </is>
      </c>
      <c r="M48" s="241" t="inlineStr">
        <is>
          <t>J. Smith</t>
        </is>
      </c>
      <c r="N48" s="241" t="inlineStr">
        <is>
          <t>25/09/2024</t>
        </is>
      </c>
    </row>
    <row r="49" ht="16.5" customHeight="1" s="126">
      <c r="A49" s="189" t="inlineStr">
        <is>
          <t>TXN40046</t>
        </is>
      </c>
      <c r="B49" s="189" t="inlineStr">
        <is>
          <t>CUST10046</t>
        </is>
      </c>
      <c r="C49" s="189" t="inlineStr">
        <is>
          <t>18/10/2024</t>
        </is>
      </c>
      <c r="D49" s="189" t="inlineStr">
        <is>
          <t>Crypto Exchange</t>
        </is>
      </c>
      <c r="E49" s="189" t="n">
        <v>200000</v>
      </c>
      <c r="F49" s="189" t="inlineStr">
        <is>
          <t>EUR</t>
        </is>
      </c>
      <c r="G49" s="190" t="inlineStr">
        <is>
          <t>Ahmed Al-Rashid</t>
        </is>
      </c>
      <c r="H49" s="189" t="inlineStr">
        <is>
          <t>UAE</t>
        </is>
      </c>
      <c r="I49" s="213" t="inlineStr">
        <is>
          <t>Amount &gt; $10,000 Cash</t>
        </is>
      </c>
      <c r="J49" s="194" t="inlineStr">
        <is>
          <t>High</t>
        </is>
      </c>
      <c r="K49" s="189" t="inlineStr">
        <is>
          <t>Yes</t>
        </is>
      </c>
      <c r="L49" s="213" t="inlineStr">
        <is>
          <t>Contact Customer</t>
        </is>
      </c>
      <c r="M49" s="189" t="inlineStr">
        <is>
          <t>L. Wang</t>
        </is>
      </c>
      <c r="N49" s="189" t="inlineStr">
        <is>
          <t>23/10/2024</t>
        </is>
      </c>
    </row>
    <row r="50" ht="16.5" customHeight="1" s="126">
      <c r="A50" s="241" t="inlineStr">
        <is>
          <t>TXN40047</t>
        </is>
      </c>
      <c r="B50" s="241" t="inlineStr">
        <is>
          <t>CUST10047</t>
        </is>
      </c>
      <c r="C50" s="241" t="inlineStr">
        <is>
          <t>19/11/2024</t>
        </is>
      </c>
      <c r="D50" s="241" t="inlineStr">
        <is>
          <t>Real Estate Payment</t>
        </is>
      </c>
      <c r="E50" s="241" t="n">
        <v>88000</v>
      </c>
      <c r="F50" s="241" t="inlineStr">
        <is>
          <t>GBP</t>
        </is>
      </c>
      <c r="G50" s="242" t="inlineStr">
        <is>
          <t>Priya Sharma</t>
        </is>
      </c>
      <c r="H50" s="241" t="inlineStr">
        <is>
          <t>Panama</t>
        </is>
      </c>
      <c r="I50" s="243" t="inlineStr">
        <is>
          <t>Rapid in-out same day</t>
        </is>
      </c>
      <c r="J50" s="192" t="inlineStr">
        <is>
          <t>Medium</t>
        </is>
      </c>
      <c r="K50" s="241" t="inlineStr">
        <is>
          <t>Yes</t>
        </is>
      </c>
      <c r="L50" s="243" t="inlineStr">
        <is>
          <t>File SAR</t>
        </is>
      </c>
      <c r="M50" s="241" t="inlineStr">
        <is>
          <t>P. Nair</t>
        </is>
      </c>
      <c r="N50" s="241" t="inlineStr">
        <is>
          <t>27/11/2024</t>
        </is>
      </c>
    </row>
    <row r="51" ht="16.5" customHeight="1" s="126">
      <c r="A51" s="189" t="inlineStr">
        <is>
          <t>TXN40048</t>
        </is>
      </c>
      <c r="B51" s="189" t="inlineStr">
        <is>
          <t>CUST10048</t>
        </is>
      </c>
      <c r="C51" s="189" t="inlineStr">
        <is>
          <t>20/12/2024</t>
        </is>
      </c>
      <c r="D51" s="189" t="inlineStr">
        <is>
          <t>Trade Finance</t>
        </is>
      </c>
      <c r="E51" s="189" t="n">
        <v>9800</v>
      </c>
      <c r="F51" s="189" t="inlineStr">
        <is>
          <t>AED</t>
        </is>
      </c>
      <c r="G51" s="190" t="inlineStr">
        <is>
          <t>John O'Brien</t>
        </is>
      </c>
      <c r="H51" s="189" t="inlineStr">
        <is>
          <t>British Virgin Islands</t>
        </is>
      </c>
      <c r="I51" s="213" t="inlineStr">
        <is>
          <t>High-risk jurisdiction transfer</t>
        </is>
      </c>
      <c r="J51" s="187" t="inlineStr">
        <is>
          <t>Low</t>
        </is>
      </c>
      <c r="K51" s="189" t="inlineStr">
        <is>
          <t>Pending</t>
        </is>
      </c>
      <c r="L51" s="213" t="inlineStr">
        <is>
          <t>Escalate to AML Team</t>
        </is>
      </c>
      <c r="M51" s="189" t="inlineStr">
        <is>
          <t>F. Ahmed</t>
        </is>
      </c>
      <c r="N51" s="189" t="n"/>
    </row>
    <row r="52" ht="16.5" customHeight="1" s="126">
      <c r="A52" s="241" t="inlineStr">
        <is>
          <t>TXN40049</t>
        </is>
      </c>
      <c r="B52" s="241" t="inlineStr">
        <is>
          <t>CUST10049</t>
        </is>
      </c>
      <c r="C52" s="241" t="inlineStr">
        <is>
          <t>21/01/2024</t>
        </is>
      </c>
      <c r="D52" s="241" t="inlineStr">
        <is>
          <t>Card Transaction</t>
        </is>
      </c>
      <c r="E52" s="241" t="n">
        <v>15000</v>
      </c>
      <c r="F52" s="241" t="inlineStr">
        <is>
          <t>USD</t>
        </is>
      </c>
      <c r="G52" s="242" t="inlineStr">
        <is>
          <t>Liu Wei</t>
        </is>
      </c>
      <c r="H52" s="241" t="inlineStr">
        <is>
          <t>Cayman Islands</t>
        </is>
      </c>
      <c r="I52" s="243" t="inlineStr">
        <is>
          <t>Multiple transactions structuring</t>
        </is>
      </c>
      <c r="J52" s="194" t="inlineStr">
        <is>
          <t>High</t>
        </is>
      </c>
      <c r="K52" s="241" t="inlineStr">
        <is>
          <t>Yes</t>
        </is>
      </c>
      <c r="L52" s="243" t="inlineStr">
        <is>
          <t>File SAR</t>
        </is>
      </c>
      <c r="M52" s="241" t="inlineStr">
        <is>
          <t>T. Obi</t>
        </is>
      </c>
      <c r="N52" s="241" t="inlineStr">
        <is>
          <t>22/01/2024</t>
        </is>
      </c>
    </row>
    <row r="53" ht="16.5" customHeight="1" s="126">
      <c r="A53" s="189" t="inlineStr">
        <is>
          <t>TXN40050</t>
        </is>
      </c>
      <c r="B53" s="189" t="inlineStr">
        <is>
          <t>CUST10050</t>
        </is>
      </c>
      <c r="C53" s="189" t="inlineStr">
        <is>
          <t>22/02/2024</t>
        </is>
      </c>
      <c r="D53" s="189" t="inlineStr">
        <is>
          <t>Loan Drawdown</t>
        </is>
      </c>
      <c r="E53" s="189" t="n">
        <v>9800</v>
      </c>
      <c r="F53" s="189" t="inlineStr">
        <is>
          <t>EUR</t>
        </is>
      </c>
      <c r="G53" s="190" t="inlineStr">
        <is>
          <t>Fatima Al-Zahra</t>
        </is>
      </c>
      <c r="H53" s="189" t="inlineStr">
        <is>
          <t>Switzerland</t>
        </is>
      </c>
      <c r="I53" s="213" t="inlineStr">
        <is>
          <t>Dormant account sudden activity</t>
        </is>
      </c>
      <c r="J53" s="192" t="inlineStr">
        <is>
          <t>Medium</t>
        </is>
      </c>
      <c r="K53" s="189" t="inlineStr">
        <is>
          <t>Yes</t>
        </is>
      </c>
      <c r="L53" s="213" t="inlineStr">
        <is>
          <t>Freeze Transaction</t>
        </is>
      </c>
      <c r="M53" s="189" t="inlineStr">
        <is>
          <t>Head AML</t>
        </is>
      </c>
      <c r="N53" s="189" t="inlineStr">
        <is>
          <t>23/02/2024</t>
        </is>
      </c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25" min="1" max="1"/>
  </cols>
  <sheetData>
    <row r="1" ht="39.75" customHeight="1" s="126">
      <c r="A1" s="244" t="inlineStr">
        <is>
          <t>POWER BI SETUP GUIDE  |  Fresher-Friendly Step-by-Step</t>
        </is>
      </c>
    </row>
    <row r="2" ht="18" customHeight="1" s="126">
      <c r="A2" s="245" t="inlineStr">
        <is>
          <t>Connect this Excel file to Power BI and build a full AML/KYC compliance dashboard</t>
        </is>
      </c>
    </row>
    <row r="3" ht="24" customHeight="1" s="126">
      <c r="A3" s="246" t="inlineStr">
        <is>
          <t xml:space="preserve">  STEP 1 — CONNECT EXCEL TO POWER BI</t>
        </is>
      </c>
      <c r="B3" s="199" t="n"/>
      <c r="C3" s="199" t="n"/>
      <c r="D3" s="199" t="n"/>
      <c r="E3" s="199" t="n"/>
      <c r="F3" s="199" t="n"/>
      <c r="G3" s="199" t="n"/>
      <c r="H3" s="199" t="n"/>
      <c r="I3" s="199" t="n"/>
      <c r="J3" s="199" t="n"/>
      <c r="K3" s="199" t="n"/>
      <c r="L3" s="199" t="n"/>
      <c r="M3" s="199" t="n"/>
      <c r="N3" s="199" t="n"/>
    </row>
    <row r="4" ht="19.5" customHeight="1" s="126">
      <c r="A4" s="247" t="inlineStr">
        <is>
          <t xml:space="preserve">  1. Open Power BI Desktop → click 'Get Data' → choose 'Excel Workbook'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199" t="n"/>
      <c r="N4" s="199" t="n"/>
    </row>
    <row r="5" ht="19.5" customHeight="1" s="126">
      <c r="A5" s="247" t="inlineStr">
        <is>
          <t xml:space="preserve">  2. Browse and select: AML_KYC_EDD_Dashboard_50.xlsx</t>
        </is>
      </c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199" t="n"/>
      <c r="N5" s="199" t="n"/>
    </row>
    <row r="6" ht="19.5" customHeight="1" s="126">
      <c r="A6" s="247" t="inlineStr">
        <is>
          <t xml:space="preserve">  3. In Navigator, tick all sheets: KYC Register, AML Alerts, EDD Cases, SAR Log, Transaction Monitor, Risk Matrix</t>
        </is>
      </c>
      <c r="B6" s="199" t="n"/>
      <c r="C6" s="199" t="n"/>
      <c r="D6" s="199" t="n"/>
      <c r="E6" s="199" t="n"/>
      <c r="F6" s="199" t="n"/>
      <c r="G6" s="199" t="n"/>
      <c r="H6" s="199" t="n"/>
      <c r="I6" s="199" t="n"/>
      <c r="J6" s="199" t="n"/>
      <c r="K6" s="199" t="n"/>
      <c r="L6" s="199" t="n"/>
      <c r="M6" s="199" t="n"/>
      <c r="N6" s="199" t="n"/>
    </row>
    <row r="7" ht="19.5" customHeight="1" s="126">
      <c r="A7" s="247" t="inlineStr">
        <is>
          <t xml:space="preserve">  4. Click 'Transform Data' → Power Query opens → review data, then click 'Close &amp; Apply'</t>
        </is>
      </c>
      <c r="B7" s="199" t="n"/>
      <c r="C7" s="199" t="n"/>
      <c r="D7" s="199" t="n"/>
      <c r="E7" s="199" t="n"/>
      <c r="F7" s="199" t="n"/>
      <c r="G7" s="199" t="n"/>
      <c r="H7" s="199" t="n"/>
      <c r="I7" s="199" t="n"/>
      <c r="J7" s="199" t="n"/>
      <c r="K7" s="199" t="n"/>
      <c r="L7" s="199" t="n"/>
      <c r="M7" s="199" t="n"/>
      <c r="N7" s="199" t="n"/>
    </row>
    <row r="9" ht="24" customHeight="1" s="126">
      <c r="A9" s="246" t="inlineStr">
        <is>
          <t xml:space="preserve">  STEP 2 — BUILD KYC PAGE</t>
        </is>
      </c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  <c r="L9" s="199" t="n"/>
      <c r="M9" s="199" t="n"/>
      <c r="N9" s="199" t="n"/>
    </row>
    <row r="10" ht="19.5" customHeight="1" s="126">
      <c r="A10" s="248" t="inlineStr">
        <is>
          <t xml:space="preserve">  • Donut Chart: Legend = Risk Level, Values = Count of Cust ID</t>
        </is>
      </c>
      <c r="B10" s="199" t="n"/>
      <c r="C10" s="199" t="n"/>
      <c r="D10" s="199" t="n"/>
      <c r="E10" s="199" t="n"/>
      <c r="F10" s="199" t="n"/>
      <c r="G10" s="199" t="n"/>
      <c r="H10" s="199" t="n"/>
      <c r="I10" s="199" t="n"/>
      <c r="J10" s="199" t="n"/>
      <c r="K10" s="199" t="n"/>
      <c r="L10" s="199" t="n"/>
      <c r="M10" s="199" t="n"/>
      <c r="N10" s="199" t="n"/>
    </row>
    <row r="11" ht="19.5" customHeight="1" s="126">
      <c r="A11" s="248" t="inlineStr">
        <is>
          <t xml:space="preserve">  • Stacked Column: X = KYC Status, Y = Count of Cust ID, Legend = Account Type</t>
        </is>
      </c>
      <c r="B11" s="199" t="n"/>
      <c r="C11" s="199" t="n"/>
      <c r="D11" s="199" t="n"/>
      <c r="E11" s="199" t="n"/>
      <c r="F11" s="199" t="n"/>
      <c r="G11" s="199" t="n"/>
      <c r="H11" s="199" t="n"/>
      <c r="I11" s="199" t="n"/>
      <c r="J11" s="199" t="n"/>
      <c r="K11" s="199" t="n"/>
      <c r="L11" s="199" t="n"/>
      <c r="M11" s="199" t="n"/>
      <c r="N11" s="199" t="n"/>
    </row>
    <row r="12" ht="19.5" customHeight="1" s="126">
      <c r="A12" s="248" t="inlineStr">
        <is>
          <t xml:space="preserve">  • Table: Cust ID | Name | Risk Level | KYC Status | PEP Flag | Sanctions | Remarks</t>
        </is>
      </c>
      <c r="B12" s="199" t="n"/>
      <c r="C12" s="199" t="n"/>
      <c r="D12" s="199" t="n"/>
      <c r="E12" s="199" t="n"/>
      <c r="F12" s="199" t="n"/>
      <c r="G12" s="199" t="n"/>
      <c r="H12" s="199" t="n"/>
      <c r="I12" s="199" t="n"/>
      <c r="J12" s="199" t="n"/>
      <c r="K12" s="199" t="n"/>
      <c r="L12" s="199" t="n"/>
      <c r="M12" s="199" t="n"/>
      <c r="N12" s="199" t="n"/>
    </row>
    <row r="13" ht="19.5" customHeight="1" s="126">
      <c r="A13" s="248" t="inlineStr">
        <is>
          <t xml:space="preserve">  • Cards: [Total Customers = 50] [PEP Count] [Sanctions Fails] [KYC % Verified]</t>
        </is>
      </c>
      <c r="B13" s="199" t="n"/>
      <c r="C13" s="199" t="n"/>
      <c r="D13" s="199" t="n"/>
      <c r="E13" s="199" t="n"/>
      <c r="F13" s="199" t="n"/>
      <c r="G13" s="199" t="n"/>
      <c r="H13" s="199" t="n"/>
      <c r="I13" s="199" t="n"/>
      <c r="J13" s="199" t="n"/>
      <c r="K13" s="199" t="n"/>
      <c r="L13" s="199" t="n"/>
      <c r="M13" s="199" t="n"/>
      <c r="N13" s="199" t="n"/>
    </row>
    <row r="14" ht="19.5" customHeight="1" s="126">
      <c r="A14" s="248" t="inlineStr">
        <is>
          <t xml:space="preserve">  • Slicer: Risk Level | KYC Status | Nationality for interactive filtering</t>
        </is>
      </c>
      <c r="B14" s="199" t="n"/>
      <c r="C14" s="199" t="n"/>
      <c r="D14" s="199" t="n"/>
      <c r="E14" s="199" t="n"/>
      <c r="F14" s="199" t="n"/>
      <c r="G14" s="199" t="n"/>
      <c r="H14" s="199" t="n"/>
      <c r="I14" s="199" t="n"/>
      <c r="J14" s="199" t="n"/>
      <c r="K14" s="199" t="n"/>
      <c r="L14" s="199" t="n"/>
      <c r="M14" s="199" t="n"/>
      <c r="N14" s="199" t="n"/>
    </row>
    <row r="16" ht="24" customHeight="1" s="126">
      <c r="A16" s="246" t="inlineStr">
        <is>
          <t xml:space="preserve">  STEP 3 — BUILD AML ALERTS PAGE</t>
        </is>
      </c>
      <c r="B16" s="199" t="n"/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  <c r="L16" s="199" t="n"/>
      <c r="M16" s="199" t="n"/>
      <c r="N16" s="199" t="n"/>
    </row>
    <row r="17" ht="19.5" customHeight="1" s="126">
      <c r="A17" s="247" t="inlineStr">
        <is>
          <t xml:space="preserve">  • KPI Cards: Total Alerts | Open | Escalated | SAR Filed | Avg Risk Score</t>
        </is>
      </c>
      <c r="B17" s="199" t="n"/>
      <c r="C17" s="199" t="n"/>
      <c r="D17" s="199" t="n"/>
      <c r="E17" s="199" t="n"/>
      <c r="F17" s="199" t="n"/>
      <c r="G17" s="199" t="n"/>
      <c r="H17" s="199" t="n"/>
      <c r="I17" s="199" t="n"/>
      <c r="J17" s="199" t="n"/>
      <c r="K17" s="199" t="n"/>
      <c r="L17" s="199" t="n"/>
      <c r="M17" s="199" t="n"/>
      <c r="N17" s="199" t="n"/>
    </row>
    <row r="18" ht="19.5" customHeight="1" s="126">
      <c r="A18" s="247" t="inlineStr">
        <is>
          <t xml:space="preserve">  • Line Chart: X = Alert Date (Month), Y = Count of Alert ID (Trend over time)</t>
        </is>
      </c>
      <c r="B18" s="199" t="n"/>
      <c r="C18" s="199" t="n"/>
      <c r="D18" s="199" t="n"/>
      <c r="E18" s="199" t="n"/>
      <c r="F18" s="199" t="n"/>
      <c r="G18" s="199" t="n"/>
      <c r="H18" s="199" t="n"/>
      <c r="I18" s="199" t="n"/>
      <c r="J18" s="199" t="n"/>
      <c r="K18" s="199" t="n"/>
      <c r="L18" s="199" t="n"/>
      <c r="M18" s="199" t="n"/>
      <c r="N18" s="199" t="n"/>
    </row>
    <row r="19" ht="19.5" customHeight="1" s="126">
      <c r="A19" s="247" t="inlineStr">
        <is>
          <t xml:space="preserve">  • Stacked Bar: Alert Type by Priority — see which alert types are most critical</t>
        </is>
      </c>
      <c r="B19" s="199" t="n"/>
      <c r="C19" s="199" t="n"/>
      <c r="D19" s="199" t="n"/>
      <c r="E19" s="199" t="n"/>
      <c r="F19" s="199" t="n"/>
      <c r="G19" s="199" t="n"/>
      <c r="H19" s="199" t="n"/>
      <c r="I19" s="199" t="n"/>
      <c r="J19" s="199" t="n"/>
      <c r="K19" s="199" t="n"/>
      <c r="L19" s="199" t="n"/>
      <c r="M19" s="199" t="n"/>
      <c r="N19" s="199" t="n"/>
    </row>
    <row r="20" ht="19.5" customHeight="1" s="126">
      <c r="A20" s="247" t="inlineStr">
        <is>
          <t xml:space="preserve">  • Matrix: Status (rows) × Investigator (columns) = Count — shows workload</t>
        </is>
      </c>
      <c r="B20" s="199" t="n"/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199" t="n"/>
      <c r="L20" s="199" t="n"/>
      <c r="M20" s="199" t="n"/>
      <c r="N20" s="199" t="n"/>
    </row>
    <row r="21" ht="19.5" customHeight="1" s="126">
      <c r="A21" s="247" t="inlineStr">
        <is>
          <t xml:space="preserve">  • Conditional Formatting on Risk Score: 55-69=Green, 70-84=Amber, 85-99=Red</t>
        </is>
      </c>
      <c r="B21" s="199" t="n"/>
      <c r="C21" s="199" t="n"/>
      <c r="D21" s="199" t="n"/>
      <c r="E21" s="199" t="n"/>
      <c r="F21" s="199" t="n"/>
      <c r="G21" s="199" t="n"/>
      <c r="H21" s="199" t="n"/>
      <c r="I21" s="199" t="n"/>
      <c r="J21" s="199" t="n"/>
      <c r="K21" s="199" t="n"/>
      <c r="L21" s="199" t="n"/>
      <c r="M21" s="199" t="n"/>
      <c r="N21" s="199" t="n"/>
    </row>
    <row r="23" ht="24" customHeight="1" s="126">
      <c r="A23" s="246" t="inlineStr">
        <is>
          <t xml:space="preserve">  STEP 4 — BUILD EDD CASES PAGE</t>
        </is>
      </c>
      <c r="B23" s="199" t="n"/>
      <c r="C23" s="199" t="n"/>
      <c r="D23" s="199" t="n"/>
      <c r="E23" s="199" t="n"/>
      <c r="F23" s="199" t="n"/>
      <c r="G23" s="199" t="n"/>
      <c r="H23" s="199" t="n"/>
      <c r="I23" s="199" t="n"/>
      <c r="J23" s="199" t="n"/>
      <c r="K23" s="199" t="n"/>
      <c r="L23" s="199" t="n"/>
      <c r="M23" s="199" t="n"/>
      <c r="N23" s="199" t="n"/>
    </row>
    <row r="24" ht="19.5" customHeight="1" s="126">
      <c r="A24" s="248" t="inlineStr">
        <is>
          <t xml:space="preserve">  • Gauge Chart: Completed EDD / Total EDD (completion rate target = 80%)</t>
        </is>
      </c>
      <c r="B24" s="199" t="n"/>
      <c r="C24" s="199" t="n"/>
      <c r="D24" s="199" t="n"/>
      <c r="E24" s="199" t="n"/>
      <c r="F24" s="199" t="n"/>
      <c r="G24" s="199" t="n"/>
      <c r="H24" s="199" t="n"/>
      <c r="I24" s="199" t="n"/>
      <c r="J24" s="199" t="n"/>
      <c r="K24" s="199" t="n"/>
      <c r="L24" s="199" t="n"/>
      <c r="M24" s="199" t="n"/>
      <c r="N24" s="199" t="n"/>
    </row>
    <row r="25" ht="19.5" customHeight="1" s="126">
      <c r="A25" s="248" t="inlineStr">
        <is>
          <t xml:space="preserve">  • Bar Chart: EDD Cases by EDD Reason — which trigger fires most often?</t>
        </is>
      </c>
      <c r="B25" s="199" t="n"/>
      <c r="C25" s="199" t="n"/>
      <c r="D25" s="199" t="n"/>
      <c r="E25" s="199" t="n"/>
      <c r="F25" s="199" t="n"/>
      <c r="G25" s="199" t="n"/>
      <c r="H25" s="199" t="n"/>
      <c r="I25" s="199" t="n"/>
      <c r="J25" s="199" t="n"/>
      <c r="K25" s="199" t="n"/>
      <c r="L25" s="199" t="n"/>
      <c r="M25" s="199" t="n"/>
      <c r="N25" s="199" t="n"/>
    </row>
    <row r="26" ht="19.5" customHeight="1" s="126">
      <c r="A26" s="248" t="inlineStr">
        <is>
          <t xml:space="preserve">  • Table: Filter Status = Overdue — shows urgent cases needing action</t>
        </is>
      </c>
      <c r="B26" s="199" t="n"/>
      <c r="C26" s="199" t="n"/>
      <c r="D26" s="199" t="n"/>
      <c r="E26" s="199" t="n"/>
      <c r="F26" s="199" t="n"/>
      <c r="G26" s="199" t="n"/>
      <c r="H26" s="199" t="n"/>
      <c r="I26" s="199" t="n"/>
      <c r="J26" s="199" t="n"/>
      <c r="K26" s="199" t="n"/>
      <c r="L26" s="199" t="n"/>
      <c r="M26" s="199" t="n"/>
      <c r="N26" s="199" t="n"/>
    </row>
    <row r="27" ht="19.5" customHeight="1" s="126">
      <c r="A27" s="248" t="inlineStr">
        <is>
          <t xml:space="preserve">  • Scatter: X = Net Worth, Y = Risk Rating — identify outlier wealthy customers</t>
        </is>
      </c>
      <c r="B27" s="199" t="n"/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199" t="n"/>
      <c r="L27" s="199" t="n"/>
      <c r="M27" s="199" t="n"/>
      <c r="N27" s="199" t="n"/>
    </row>
    <row r="28" ht="19.5" customHeight="1" s="126">
      <c r="A28" s="248" t="inlineStr">
        <is>
          <t xml:space="preserve">  • Slicer: Stage | Investigator | EDD Reason for drill-down analysis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199" t="n"/>
      <c r="L28" s="199" t="n"/>
      <c r="M28" s="199" t="n"/>
      <c r="N28" s="199" t="n"/>
    </row>
    <row r="30" ht="24" customHeight="1" s="126">
      <c r="A30" s="246" t="inlineStr">
        <is>
          <t xml:space="preserve">  STEP 5 — BUILD SAR ANALYTICS PAGE</t>
        </is>
      </c>
      <c r="B30" s="199" t="n"/>
      <c r="C30" s="199" t="n"/>
      <c r="D30" s="199" t="n"/>
      <c r="E30" s="199" t="n"/>
      <c r="F30" s="199" t="n"/>
      <c r="G30" s="199" t="n"/>
      <c r="H30" s="199" t="n"/>
      <c r="I30" s="199" t="n"/>
      <c r="J30" s="199" t="n"/>
      <c r="K30" s="199" t="n"/>
      <c r="L30" s="199" t="n"/>
      <c r="M30" s="199" t="n"/>
      <c r="N30" s="199" t="n"/>
    </row>
    <row r="31" ht="19.5" customHeight="1" s="126">
      <c r="A31" s="249" t="inlineStr">
        <is>
          <t xml:space="preserve">  • Cards: Total SARs | Pending Feedback | Prosecution Rate | High Priority SARs</t>
        </is>
      </c>
      <c r="B31" s="199" t="n"/>
      <c r="C31" s="199" t="n"/>
      <c r="D31" s="199" t="n"/>
      <c r="E31" s="199" t="n"/>
      <c r="F31" s="199" t="n"/>
      <c r="G31" s="199" t="n"/>
      <c r="H31" s="199" t="n"/>
      <c r="I31" s="199" t="n"/>
      <c r="J31" s="199" t="n"/>
      <c r="K31" s="199" t="n"/>
      <c r="L31" s="199" t="n"/>
      <c r="M31" s="199" t="n"/>
      <c r="N31" s="199" t="n"/>
    </row>
    <row r="32" ht="19.5" customHeight="1" s="126">
      <c r="A32" s="249" t="inlineStr">
        <is>
          <t xml:space="preserve">  • Column Chart: Filing Date → Month on X-axis, Count of SAR Ref on Y-axis</t>
        </is>
      </c>
      <c r="B32" s="199" t="n"/>
      <c r="C32" s="199" t="n"/>
      <c r="D32" s="199" t="n"/>
      <c r="E32" s="199" t="n"/>
      <c r="F32" s="199" t="n"/>
      <c r="G32" s="199" t="n"/>
      <c r="H32" s="199" t="n"/>
      <c r="I32" s="199" t="n"/>
      <c r="J32" s="199" t="n"/>
      <c r="K32" s="199" t="n"/>
      <c r="L32" s="199" t="n"/>
      <c r="M32" s="199" t="n"/>
      <c r="N32" s="199" t="n"/>
    </row>
    <row r="33" ht="19.5" customHeight="1" s="126">
      <c r="A33" s="249" t="inlineStr">
        <is>
          <t xml:space="preserve">  • Pie Chart: Case Outcome distribution — Prosecution vs Closed vs Pending etc.</t>
        </is>
      </c>
      <c r="B33" s="199" t="n"/>
      <c r="C33" s="199" t="n"/>
      <c r="D33" s="199" t="n"/>
      <c r="E33" s="199" t="n"/>
      <c r="F33" s="199" t="n"/>
      <c r="G33" s="199" t="n"/>
      <c r="H33" s="199" t="n"/>
      <c r="I33" s="199" t="n"/>
      <c r="J33" s="199" t="n"/>
      <c r="K33" s="199" t="n"/>
      <c r="L33" s="199" t="n"/>
      <c r="M33" s="199" t="n"/>
      <c r="N33" s="199" t="n"/>
    </row>
    <row r="34" ht="19.5" customHeight="1" s="126">
      <c r="A34" s="249" t="inlineStr">
        <is>
          <t xml:space="preserve">  • Table: All Active SARs with FIU Reference, Priority, and Outcome</t>
        </is>
      </c>
      <c r="B34" s="199" t="n"/>
      <c r="C34" s="199" t="n"/>
      <c r="D34" s="199" t="n"/>
      <c r="E34" s="199" t="n"/>
      <c r="F34" s="199" t="n"/>
      <c r="G34" s="199" t="n"/>
      <c r="H34" s="199" t="n"/>
      <c r="I34" s="199" t="n"/>
      <c r="J34" s="199" t="n"/>
      <c r="K34" s="199" t="n"/>
      <c r="L34" s="199" t="n"/>
      <c r="M34" s="199" t="n"/>
      <c r="N34" s="199" t="n"/>
    </row>
    <row r="36" ht="24" customHeight="1" s="126">
      <c r="A36" s="246" t="inlineStr">
        <is>
          <t xml:space="preserve">  STEP 6 — TRANSACTION MONITORING PAGE</t>
        </is>
      </c>
      <c r="B36" s="199" t="n"/>
      <c r="C36" s="199" t="n"/>
      <c r="D36" s="199" t="n"/>
      <c r="E36" s="199" t="n"/>
      <c r="F36" s="199" t="n"/>
      <c r="G36" s="199" t="n"/>
      <c r="H36" s="199" t="n"/>
      <c r="I36" s="199" t="n"/>
      <c r="J36" s="199" t="n"/>
      <c r="K36" s="199" t="n"/>
      <c r="L36" s="199" t="n"/>
      <c r="M36" s="199" t="n"/>
      <c r="N36" s="199" t="n"/>
    </row>
    <row r="37" ht="19.5" customHeight="1" s="126">
      <c r="A37" s="250" t="inlineStr">
        <is>
          <t xml:space="preserve">  • Table: All 50 transactions with Rule Triggered, Risk Flag, Action</t>
        </is>
      </c>
      <c r="B37" s="199" t="n"/>
      <c r="C37" s="199" t="n"/>
      <c r="D37" s="199" t="n"/>
      <c r="E37" s="199" t="n"/>
      <c r="F37" s="199" t="n"/>
      <c r="G37" s="199" t="n"/>
      <c r="H37" s="199" t="n"/>
      <c r="I37" s="199" t="n"/>
      <c r="J37" s="199" t="n"/>
      <c r="K37" s="199" t="n"/>
      <c r="L37" s="199" t="n"/>
      <c r="M37" s="199" t="n"/>
      <c r="N37" s="199" t="n"/>
    </row>
    <row r="38" ht="19.5" customHeight="1" s="126">
      <c r="A38" s="250" t="inlineStr">
        <is>
          <t xml:space="preserve">  • Bar: Count of transactions by Country — spot high-risk jurisdiction exposure</t>
        </is>
      </c>
      <c r="B38" s="199" t="n"/>
      <c r="C38" s="199" t="n"/>
      <c r="D38" s="199" t="n"/>
      <c r="E38" s="199" t="n"/>
      <c r="F38" s="199" t="n"/>
      <c r="G38" s="199" t="n"/>
      <c r="H38" s="199" t="n"/>
      <c r="I38" s="199" t="n"/>
      <c r="J38" s="199" t="n"/>
      <c r="K38" s="199" t="n"/>
      <c r="L38" s="199" t="n"/>
      <c r="M38" s="199" t="n"/>
      <c r="N38" s="199" t="n"/>
    </row>
    <row r="39" ht="19.5" customHeight="1" s="126">
      <c r="A39" s="250" t="inlineStr">
        <is>
          <t xml:space="preserve">  • Slicer: Risk Flag (High/Medium/Low) | Reviewed (Yes/No/Pending)</t>
        </is>
      </c>
      <c r="B39" s="199" t="n"/>
      <c r="C39" s="199" t="n"/>
      <c r="D39" s="199" t="n"/>
      <c r="E39" s="199" t="n"/>
      <c r="F39" s="199" t="n"/>
      <c r="G39" s="199" t="n"/>
      <c r="H39" s="199" t="n"/>
      <c r="I39" s="199" t="n"/>
      <c r="J39" s="199" t="n"/>
      <c r="K39" s="199" t="n"/>
      <c r="L39" s="199" t="n"/>
      <c r="M39" s="199" t="n"/>
      <c r="N39" s="199" t="n"/>
    </row>
    <row r="41" ht="24" customHeight="1" s="126">
      <c r="A41" s="246" t="inlineStr">
        <is>
          <t xml:space="preserve">  STEP 7 — USEFUL DAX FORMULAS</t>
        </is>
      </c>
      <c r="B41" s="199" t="n"/>
      <c r="C41" s="199" t="n"/>
      <c r="D41" s="199" t="n"/>
      <c r="E41" s="199" t="n"/>
      <c r="F41" s="199" t="n"/>
      <c r="G41" s="199" t="n"/>
      <c r="H41" s="199" t="n"/>
      <c r="I41" s="199" t="n"/>
      <c r="J41" s="199" t="n"/>
      <c r="K41" s="199" t="n"/>
      <c r="L41" s="199" t="n"/>
      <c r="M41" s="199" t="n"/>
      <c r="N41" s="199" t="n"/>
    </row>
    <row r="42" ht="19.5" customHeight="1" s="126">
      <c r="A42" s="251" t="inlineStr">
        <is>
          <t xml:space="preserve">  KYC_Verified% = DIVIDE(CALCULATE(COUNTROWS('KYC Register'),'KYC Register'[KYC Status]="Verified"),COUNTROWS('KYC Register'),0)</t>
        </is>
      </c>
      <c r="B42" s="199" t="n"/>
      <c r="C42" s="199" t="n"/>
      <c r="D42" s="199" t="n"/>
      <c r="E42" s="199" t="n"/>
      <c r="F42" s="199" t="n"/>
      <c r="G42" s="199" t="n"/>
      <c r="H42" s="199" t="n"/>
      <c r="I42" s="199" t="n"/>
      <c r="J42" s="199" t="n"/>
      <c r="K42" s="199" t="n"/>
      <c r="L42" s="199" t="n"/>
      <c r="M42" s="199" t="n"/>
      <c r="N42" s="199" t="n"/>
    </row>
    <row r="43" ht="19.5" customHeight="1" s="126">
      <c r="A43" s="251" t="inlineStr">
        <is>
          <t xml:space="preserve">  HighRisk_Count = CALCULATE(COUNTROWS('KYC Register'),'KYC Register'[Risk Level]="High")</t>
        </is>
      </c>
      <c r="B43" s="199" t="n"/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  <c r="L43" s="199" t="n"/>
      <c r="M43" s="199" t="n"/>
      <c r="N43" s="199" t="n"/>
    </row>
    <row r="44" ht="19.5" customHeight="1" s="126">
      <c r="A44" s="251" t="inlineStr">
        <is>
          <t xml:space="preserve">  Alert_ClosureRate = DIVIDE(CALCULATE(COUNTROWS('AML Alerts'),OR('AML Alerts'[Status]="Closed - SAR",'AML Alerts'[Status]="Closed - No Action")),COUNTROWS('AML Alerts'),0)</t>
        </is>
      </c>
      <c r="B44" s="199" t="n"/>
      <c r="C44" s="199" t="n"/>
      <c r="D44" s="199" t="n"/>
      <c r="E44" s="199" t="n"/>
      <c r="F44" s="199" t="n"/>
      <c r="G44" s="199" t="n"/>
      <c r="H44" s="199" t="n"/>
      <c r="I44" s="199" t="n"/>
      <c r="J44" s="199" t="n"/>
      <c r="K44" s="199" t="n"/>
      <c r="L44" s="199" t="n"/>
      <c r="M44" s="199" t="n"/>
      <c r="N44" s="199" t="n"/>
    </row>
    <row r="45" ht="19.5" customHeight="1" s="126">
      <c r="A45" s="251" t="inlineStr">
        <is>
          <t xml:space="preserve">  EDD_Overdue = CALCULATE(COUNTROWS('EDD Cases'),'EDD Cases'[Status]="Overdue")</t>
        </is>
      </c>
      <c r="B45" s="199" t="n"/>
      <c r="C45" s="199" t="n"/>
      <c r="D45" s="199" t="n"/>
      <c r="E45" s="199" t="n"/>
      <c r="F45" s="199" t="n"/>
      <c r="G45" s="199" t="n"/>
      <c r="H45" s="199" t="n"/>
      <c r="I45" s="199" t="n"/>
      <c r="J45" s="199" t="n"/>
      <c r="K45" s="199" t="n"/>
      <c r="L45" s="199" t="n"/>
      <c r="M45" s="199" t="n"/>
      <c r="N45" s="199" t="n"/>
    </row>
    <row r="46" ht="19.5" customHeight="1" s="126">
      <c r="A46" s="251" t="inlineStr">
        <is>
          <t xml:space="preserve">  SAR_ProsecutionRate = DIVIDE(CALCULATE(COUNTROWS('SAR Log'),'SAR Log'[Case Outcome]="Prosecution Initiated"),COUNTROWS('SAR Log'),0)</t>
        </is>
      </c>
      <c r="B46" s="199" t="n"/>
      <c r="C46" s="199" t="n"/>
      <c r="D46" s="199" t="n"/>
      <c r="E46" s="199" t="n"/>
      <c r="F46" s="199" t="n"/>
      <c r="G46" s="199" t="n"/>
      <c r="H46" s="199" t="n"/>
      <c r="I46" s="199" t="n"/>
      <c r="J46" s="199" t="n"/>
      <c r="K46" s="199" t="n"/>
      <c r="L46" s="199" t="n"/>
      <c r="M46" s="199" t="n"/>
      <c r="N46" s="199" t="n"/>
    </row>
    <row r="47" ht="19.5" customHeight="1" s="126">
      <c r="A47" s="251" t="inlineStr">
        <is>
          <t xml:space="preserve">  AvgDaysOpen = AVERAGEX('AML Alerts','AML Alerts'[Days Open])</t>
        </is>
      </c>
      <c r="B47" s="199" t="n"/>
      <c r="C47" s="199" t="n"/>
      <c r="D47" s="199" t="n"/>
      <c r="E47" s="199" t="n"/>
      <c r="F47" s="199" t="n"/>
      <c r="G47" s="199" t="n"/>
      <c r="H47" s="199" t="n"/>
      <c r="I47" s="199" t="n"/>
      <c r="J47" s="199" t="n"/>
      <c r="K47" s="199" t="n"/>
      <c r="L47" s="199" t="n"/>
      <c r="M47" s="199" t="n"/>
      <c r="N47" s="199" t="n"/>
    </row>
    <row r="49" ht="24" customHeight="1" s="126">
      <c r="A49" s="246" t="inlineStr">
        <is>
          <t xml:space="preserve">  STEP 8 — FRESHER TIPS FOR GREAT DASHBOARDS</t>
        </is>
      </c>
      <c r="B49" s="199" t="n"/>
      <c r="C49" s="199" t="n"/>
      <c r="D49" s="199" t="n"/>
      <c r="E49" s="199" t="n"/>
      <c r="F49" s="199" t="n"/>
      <c r="G49" s="199" t="n"/>
      <c r="H49" s="199" t="n"/>
      <c r="I49" s="199" t="n"/>
      <c r="J49" s="199" t="n"/>
      <c r="K49" s="199" t="n"/>
      <c r="L49" s="199" t="n"/>
      <c r="M49" s="199" t="n"/>
      <c r="N49" s="199" t="n"/>
    </row>
    <row r="50" ht="19.5" customHeight="1" s="126">
      <c r="A50" s="247" t="inlineStr">
        <is>
          <t xml:space="preserve">  ✅ Red = High Risk / Amber = Medium Risk / Green = Low Risk — be consistent across all pages</t>
        </is>
      </c>
      <c r="B50" s="199" t="n"/>
      <c r="C50" s="199" t="n"/>
      <c r="D50" s="199" t="n"/>
      <c r="E50" s="199" t="n"/>
      <c r="F50" s="199" t="n"/>
      <c r="G50" s="199" t="n"/>
      <c r="H50" s="199" t="n"/>
      <c r="I50" s="199" t="n"/>
      <c r="J50" s="199" t="n"/>
      <c r="K50" s="199" t="n"/>
      <c r="L50" s="199" t="n"/>
      <c r="M50" s="199" t="n"/>
      <c r="N50" s="199" t="n"/>
    </row>
    <row r="51" ht="19.5" customHeight="1" s="126">
      <c r="A51" s="247" t="inlineStr">
        <is>
          <t xml:space="preserve">  ✅ Add a Date Slicer at the top of every page so managers can filter by period</t>
        </is>
      </c>
      <c r="B51" s="199" t="n"/>
      <c r="C51" s="199" t="n"/>
      <c r="D51" s="199" t="n"/>
      <c r="E51" s="199" t="n"/>
      <c r="F51" s="199" t="n"/>
      <c r="G51" s="199" t="n"/>
      <c r="H51" s="199" t="n"/>
      <c r="I51" s="199" t="n"/>
      <c r="J51" s="199" t="n"/>
      <c r="K51" s="199" t="n"/>
      <c r="L51" s="199" t="n"/>
      <c r="M51" s="199" t="n"/>
      <c r="N51" s="199" t="n"/>
    </row>
    <row r="52" ht="19.5" customHeight="1" s="126">
      <c r="A52" s="247" t="inlineStr">
        <is>
          <t xml:space="preserve">  ✅ Use Drill-Through: right-click a customer → see all their alerts, EDD, and SARs</t>
        </is>
      </c>
      <c r="B52" s="199" t="n"/>
      <c r="C52" s="199" t="n"/>
      <c r="D52" s="199" t="n"/>
      <c r="E52" s="199" t="n"/>
      <c r="F52" s="199" t="n"/>
      <c r="G52" s="199" t="n"/>
      <c r="H52" s="199" t="n"/>
      <c r="I52" s="199" t="n"/>
      <c r="J52" s="199" t="n"/>
      <c r="K52" s="199" t="n"/>
      <c r="L52" s="199" t="n"/>
      <c r="M52" s="199" t="n"/>
      <c r="N52" s="199" t="n"/>
    </row>
    <row r="53" ht="19.5" customHeight="1" s="126">
      <c r="A53" s="247" t="inlineStr">
        <is>
          <t xml:space="preserve">  ✅ Add Bookmarks to switch between 'Executive View' and 'Analyst Detail View'</t>
        </is>
      </c>
      <c r="B53" s="199" t="n"/>
      <c r="C53" s="199" t="n"/>
      <c r="D53" s="199" t="n"/>
      <c r="E53" s="199" t="n"/>
      <c r="F53" s="199" t="n"/>
      <c r="G53" s="199" t="n"/>
      <c r="H53" s="199" t="n"/>
      <c r="I53" s="199" t="n"/>
      <c r="J53" s="199" t="n"/>
      <c r="K53" s="199" t="n"/>
      <c r="L53" s="199" t="n"/>
      <c r="M53" s="199" t="n"/>
      <c r="N53" s="199" t="n"/>
    </row>
    <row r="54" ht="19.5" customHeight="1" s="126">
      <c r="A54" s="247" t="inlineStr">
        <is>
          <t xml:space="preserve">  ✅ Enable Row-Level Security (RLS) so investigators only see their own cases</t>
        </is>
      </c>
      <c r="B54" s="199" t="n"/>
      <c r="C54" s="199" t="n"/>
      <c r="D54" s="199" t="n"/>
      <c r="E54" s="199" t="n"/>
      <c r="F54" s="199" t="n"/>
      <c r="G54" s="199" t="n"/>
      <c r="H54" s="199" t="n"/>
      <c r="I54" s="199" t="n"/>
      <c r="J54" s="199" t="n"/>
      <c r="K54" s="199" t="n"/>
      <c r="L54" s="199" t="n"/>
      <c r="M54" s="199" t="n"/>
      <c r="N54" s="199" t="n"/>
    </row>
    <row r="55" ht="19.5" customHeight="1" s="126">
      <c r="A55" s="247" t="inlineStr">
        <is>
          <t xml:space="preserve">  ✅ Publish to Power BI Service → share with team → schedule daily data refresh</t>
        </is>
      </c>
      <c r="B55" s="199" t="n"/>
      <c r="C55" s="199" t="n"/>
      <c r="D55" s="199" t="n"/>
      <c r="E55" s="199" t="n"/>
      <c r="F55" s="199" t="n"/>
      <c r="G55" s="199" t="n"/>
      <c r="H55" s="199" t="n"/>
      <c r="I55" s="199" t="n"/>
      <c r="J55" s="199" t="n"/>
      <c r="K55" s="199" t="n"/>
      <c r="L55" s="199" t="n"/>
      <c r="M55" s="199" t="n"/>
      <c r="N55" s="199" t="n"/>
    </row>
    <row r="56" ht="19.5" customHeight="1" s="126">
      <c r="A56" s="247" t="inlineStr">
        <is>
          <t xml:space="preserve">  ✅ Use Power Automate to send email alerts when High Risk alerts are created</t>
        </is>
      </c>
      <c r="B56" s="199" t="n"/>
      <c r="C56" s="199" t="n"/>
      <c r="D56" s="199" t="n"/>
      <c r="E56" s="199" t="n"/>
      <c r="F56" s="199" t="n"/>
      <c r="G56" s="199" t="n"/>
      <c r="H56" s="199" t="n"/>
      <c r="I56" s="199" t="n"/>
      <c r="J56" s="199" t="n"/>
      <c r="K56" s="199" t="n"/>
      <c r="L56" s="199" t="n"/>
      <c r="M56" s="199" t="n"/>
      <c r="N56" s="199" t="n"/>
    </row>
  </sheetData>
  <mergeCells count="49">
    <mergeCell ref="A9:N9"/>
    <mergeCell ref="A31:N31"/>
    <mergeCell ref="A39:N39"/>
    <mergeCell ref="A34:N34"/>
    <mergeCell ref="A24:N24"/>
    <mergeCell ref="A30:N30"/>
    <mergeCell ref="A11:N11"/>
    <mergeCell ref="A49:N49"/>
    <mergeCell ref="A51:N51"/>
    <mergeCell ref="A45:N45"/>
    <mergeCell ref="A36:N36"/>
    <mergeCell ref="A1:Q1"/>
    <mergeCell ref="A6:N6"/>
    <mergeCell ref="A16:N16"/>
    <mergeCell ref="A54:N54"/>
    <mergeCell ref="A7:N7"/>
    <mergeCell ref="A25:N25"/>
    <mergeCell ref="A41:N41"/>
    <mergeCell ref="A37:N37"/>
    <mergeCell ref="A46:N46"/>
    <mergeCell ref="A18:N18"/>
    <mergeCell ref="A27:N27"/>
    <mergeCell ref="A56:N56"/>
    <mergeCell ref="A3:N3"/>
    <mergeCell ref="A55:N55"/>
    <mergeCell ref="A12:N12"/>
    <mergeCell ref="A50:N50"/>
    <mergeCell ref="A26:N26"/>
    <mergeCell ref="A21:N21"/>
    <mergeCell ref="A2:Q2"/>
    <mergeCell ref="A33:N33"/>
    <mergeCell ref="A47:N47"/>
    <mergeCell ref="A5:N5"/>
    <mergeCell ref="A23:N23"/>
    <mergeCell ref="A32:N32"/>
    <mergeCell ref="A42:N42"/>
    <mergeCell ref="A14:N14"/>
    <mergeCell ref="A17:N17"/>
    <mergeCell ref="A53:N53"/>
    <mergeCell ref="A4:N4"/>
    <mergeCell ref="A20:N20"/>
    <mergeCell ref="A38:N38"/>
    <mergeCell ref="A52:N52"/>
    <mergeCell ref="A43:N43"/>
    <mergeCell ref="A19:N19"/>
    <mergeCell ref="A10:N10"/>
    <mergeCell ref="A28:N28"/>
    <mergeCell ref="A13:N13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2026-06-03T06:36:23Z</dcterms:created>
  <dcterms:modified xmlns:dcterms="http://purl.org/dc/terms/" xmlns:xsi="http://www.w3.org/2001/XMLSchema-instance" xsi:type="dcterms:W3CDTF">2026-06-10T12:07:51Z</dcterms:modified>
  <cp:revision>3</cp:revision>
</cp:coreProperties>
</file>